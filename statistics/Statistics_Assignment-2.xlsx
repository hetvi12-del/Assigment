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ta Analyst tops\Module-2=Statistics\"/>
    </mc:Choice>
  </mc:AlternateContent>
  <xr:revisionPtr revIDLastSave="0" documentId="13_ncr:1_{39B24DF6-CA84-4A7E-9762-1136154C0350}" xr6:coauthVersionLast="47" xr6:coauthVersionMax="47" xr10:uidLastSave="{00000000-0000-0000-0000-000000000000}"/>
  <bookViews>
    <workbookView xWindow="-108" yWindow="-108" windowWidth="23256" windowHeight="12456" firstSheet="2" activeTab="5" xr2:uid="{A22D7DF6-44CC-45CF-8686-EA13C05739E4}"/>
  </bookViews>
  <sheets>
    <sheet name="Measures of Central Tendency1) " sheetId="1" r:id="rId1"/>
    <sheet name="Measures of Dispersion" sheetId="2" r:id="rId2"/>
    <sheet name="Frequency Distribution" sheetId="3" r:id="rId3"/>
    <sheet name="Charts Section" sheetId="4" r:id="rId4"/>
    <sheet name="Skewness &amp; Kurtosis Section" sheetId="5" r:id="rId5"/>
    <sheet name="Quartiles &amp; Percentil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0" i="6" l="1"/>
  <c r="M120" i="6"/>
  <c r="L120" i="6"/>
  <c r="N116" i="6"/>
  <c r="M116" i="6"/>
  <c r="L116" i="6"/>
  <c r="N90" i="6"/>
  <c r="M90" i="6"/>
  <c r="L90" i="6"/>
  <c r="N86" i="6"/>
  <c r="M86" i="6"/>
  <c r="L86" i="6"/>
  <c r="N61" i="6"/>
  <c r="M61" i="6"/>
  <c r="L61" i="6"/>
  <c r="N57" i="6"/>
  <c r="M57" i="6"/>
  <c r="L57" i="6"/>
  <c r="O38" i="6"/>
  <c r="N38" i="6"/>
  <c r="M38" i="6"/>
  <c r="L38" i="6"/>
  <c r="N33" i="6"/>
  <c r="M33" i="6"/>
  <c r="L33" i="6"/>
  <c r="O11" i="6"/>
  <c r="N11" i="6"/>
  <c r="M11" i="6"/>
  <c r="L11" i="6"/>
  <c r="M7" i="6"/>
  <c r="N7" i="6"/>
  <c r="L7" i="6"/>
  <c r="M91" i="5"/>
  <c r="L91" i="5"/>
  <c r="M67" i="5"/>
  <c r="L67" i="5"/>
  <c r="M46" i="5"/>
  <c r="L46" i="5"/>
  <c r="M23" i="5"/>
  <c r="L23" i="5"/>
  <c r="M7" i="5"/>
  <c r="L7" i="5"/>
  <c r="Q333" i="4"/>
  <c r="Q332" i="4"/>
  <c r="Q331" i="4"/>
  <c r="P333" i="4"/>
  <c r="P332" i="4"/>
  <c r="P331" i="4"/>
  <c r="F233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25" i="4"/>
  <c r="E170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58" i="4"/>
  <c r="E63" i="4"/>
  <c r="C46" i="4"/>
  <c r="C47" i="4"/>
  <c r="C48" i="4"/>
  <c r="C49" i="4"/>
  <c r="C45" i="4"/>
  <c r="G129" i="3"/>
  <c r="I129" i="3"/>
  <c r="H129" i="3"/>
  <c r="F129" i="3"/>
  <c r="E129" i="3"/>
  <c r="D147" i="3"/>
  <c r="D148" i="3"/>
  <c r="D149" i="3"/>
  <c r="D150" i="3"/>
  <c r="D151" i="3"/>
  <c r="D152" i="3"/>
  <c r="D153" i="3"/>
  <c r="D154" i="3"/>
  <c r="D155" i="3"/>
  <c r="D156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29" i="3"/>
  <c r="G17" i="3"/>
  <c r="F17" i="3"/>
  <c r="E17" i="3"/>
  <c r="D29" i="3"/>
  <c r="D30" i="3"/>
  <c r="D31" i="3"/>
  <c r="D32" i="3"/>
  <c r="D33" i="3"/>
  <c r="D34" i="3"/>
  <c r="D35" i="3"/>
  <c r="D28" i="3"/>
  <c r="D27" i="3"/>
  <c r="D26" i="3"/>
  <c r="D25" i="3"/>
  <c r="D24" i="3"/>
  <c r="D23" i="3"/>
  <c r="D22" i="3"/>
  <c r="D21" i="3"/>
  <c r="D20" i="3"/>
  <c r="D19" i="3"/>
  <c r="D18" i="3"/>
  <c r="D17" i="3"/>
  <c r="J198" i="2"/>
  <c r="J197" i="2"/>
  <c r="J196" i="2"/>
  <c r="J195" i="2"/>
  <c r="J194" i="2"/>
  <c r="I198" i="2"/>
  <c r="I197" i="2"/>
  <c r="I196" i="2"/>
  <c r="I195" i="2"/>
  <c r="I194" i="2"/>
  <c r="H198" i="2"/>
  <c r="H197" i="2"/>
  <c r="H196" i="2"/>
  <c r="H195" i="2"/>
  <c r="H194" i="2"/>
  <c r="H84" i="2"/>
  <c r="H83" i="2"/>
  <c r="H82" i="2"/>
  <c r="G26" i="2"/>
  <c r="G25" i="2"/>
  <c r="D9" i="2"/>
  <c r="D8" i="2"/>
  <c r="G52" i="1"/>
  <c r="G51" i="1"/>
  <c r="G50" i="1"/>
  <c r="D25" i="1"/>
  <c r="D24" i="1"/>
  <c r="D23" i="1"/>
  <c r="B13" i="1"/>
  <c r="B12" i="1"/>
</calcChain>
</file>

<file path=xl/sharedStrings.xml><?xml version="1.0" encoding="utf-8"?>
<sst xmlns="http://schemas.openxmlformats.org/spreadsheetml/2006/main" count="320" uniqueCount="231">
  <si>
    <t>1) Business Problem: A retail store wants to analyze the sales data of a particular product category to understand the typical sales performance and make strategic decisions.</t>
  </si>
  <si>
    <t>Data: Let's consider the weekly sales data (in units) for the past month for a specific product</t>
  </si>
  <si>
    <t>category:</t>
  </si>
  <si>
    <t>Week 1: 50 units</t>
  </si>
  <si>
    <t>Week 2: 60 units</t>
  </si>
  <si>
    <t>Week 3: 55 units</t>
  </si>
  <si>
    <t>Week 4: 70 units</t>
  </si>
  <si>
    <t>Data</t>
  </si>
  <si>
    <t>No</t>
  </si>
  <si>
    <t>2) Business Problem: A restaurant wants to analyze the waiting times of its customers to understand the typical waiting experience and improve service efficiency.</t>
  </si>
  <si>
    <t>Data: Let's consider the waiting times (in minutes) for the past 20 customers:</t>
  </si>
  <si>
    <t>15, 10, 20, 25, 15, 10, 30, 20, 15, 10,</t>
  </si>
  <si>
    <t>10, 25, 15, 20, 20, 15, 10, 10, 20, 25</t>
  </si>
  <si>
    <t>Q-1-Mean</t>
  </si>
  <si>
    <t>Q-2-Median</t>
  </si>
  <si>
    <t>Q-3-Mode</t>
  </si>
  <si>
    <t>3) Business Problem: A car rental company wants to analyze the rental durations of its customers to understand the typical rental period and optimize its pricing and fleet management strategies.</t>
  </si>
  <si>
    <t>Data: Let's consider the rental durations (in days) for a sample of 50 customers:</t>
  </si>
  <si>
    <t>3, 2, 5, 4, 7, 2, 3, 3, 1, 6</t>
  </si>
  <si>
    <t>4, 2, 3, 5, 2, 4, 2, 1, 3, 5,</t>
  </si>
  <si>
    <t>6, 3, 2, 1, 4, 2, 4, 5, 3, 2,</t>
  </si>
  <si>
    <t>7, 2, 3, 4, 5, 1, 6, 2, 4, 3,</t>
  </si>
  <si>
    <t>5, 3, 2, 4, 2, 6, 3, 2, 4, 5</t>
  </si>
  <si>
    <t>4) Problem : A company wants to analyze the monthly revenue generated by one of its products to understand its performance and variability.</t>
  </si>
  <si>
    <t>Data: Let's consider the monthly revenue (in thousands of dollars) for the past 12 months:</t>
  </si>
  <si>
    <t>$120, $150, $110, $135, $125, $140, $130, $155, $115, $145, $135, $130</t>
  </si>
  <si>
    <t>Q-2-Range</t>
  </si>
  <si>
    <t>5) Problem : A survey was conducted to gather feedback from customers regarding their satisfaction with a particular service on a scale of 1 to 10.</t>
  </si>
  <si>
    <t>Data: Let's consider the satisfaction ratings from 50 customers:</t>
  </si>
  <si>
    <t>8, 7, 9, 6, 7, 8, 9, 8, 7, 6,</t>
  </si>
  <si>
    <t>8, 9, 7, 8, 7, 6, 8, 9, 6, 7,</t>
  </si>
  <si>
    <t>8, 9, 7, 6, 7, 8, 9, 8, 7, 6,</t>
  </si>
  <si>
    <t>9, 8, 7, 6, 8, 9, 7, 8, 7, 6,</t>
  </si>
  <si>
    <t>9, 8, 7, 6, 7, 8, 9, 8, 7, 6</t>
  </si>
  <si>
    <t>Q-2-S.D</t>
  </si>
  <si>
    <t>6) Problem :A company wants to analyze the customer wait times at its call center to assess the efficiency of its customer service operations.</t>
  </si>
  <si>
    <t>Data: Let's consider the wait times (in minutes) for a sample of 100 randomly selected customer calls:</t>
  </si>
  <si>
    <t>10, 15, 12, 18, 20, 25, 8, 14, 16, 22,</t>
  </si>
  <si>
    <t>9, 17, 11, 13, 19, 23, 21, 16, 24, 27,</t>
  </si>
  <si>
    <t>13, 10, 18, 16, 12, 14, 19, 21, 11, 17,</t>
  </si>
  <si>
    <t>15, 20, 26, 13, 12, 14, 22, 19, 16, 11,</t>
  </si>
  <si>
    <t>25, 18, 16, 13, 21, 20, 15, 12, 19, 17,</t>
  </si>
  <si>
    <t>14, 16, 23, 18, 15, 11, 19, 22, 17, 12,</t>
  </si>
  <si>
    <t>16, 14, 18, 20, 25, 13, 11, 22, 19, 17,</t>
  </si>
  <si>
    <t>15, 16, 13, 14, 18, 20, 19, 21, 17, 12,</t>
  </si>
  <si>
    <t>15, 13, 16, 14, 22, 21, 19, 18, 16, 11,</t>
  </si>
  <si>
    <t>17, 14, 12, 20, 23, 19, 15, 16, 13, 18</t>
  </si>
  <si>
    <t>Q-3-S.D</t>
  </si>
  <si>
    <t>7) Problem : A transportation company wants to analyze the fuel efficiency of its vehicle fleet to identify any variations across different vehicle models.</t>
  </si>
  <si>
    <t>Data: Let's consider the fuel efficiency (in miles per gallon, mpg) for a sample of 50 vehicles:</t>
  </si>
  <si>
    <t>Model A: 30, 32, 33, 28, 31, 30, 29, 30, 32, 31,</t>
  </si>
  <si>
    <t>Model B: 25, 27, 26, 23, 28, 24, 26, 25, 27, 28,</t>
  </si>
  <si>
    <t>Model C: 22, 23, 20, 25, 21, 24, 23, 22, 25, 24,</t>
  </si>
  <si>
    <t>Model D: 18, 17, 19, 20, 21, 18, 19, 17, 20, 19,</t>
  </si>
  <si>
    <t>Model E: 35, 36, 34, 35, 33, 34, 32, 33, 36, 34</t>
  </si>
  <si>
    <t>Model A</t>
  </si>
  <si>
    <t>Model B</t>
  </si>
  <si>
    <t>Model C</t>
  </si>
  <si>
    <t>Model D</t>
  </si>
  <si>
    <t>Model E</t>
  </si>
  <si>
    <t>Model</t>
  </si>
  <si>
    <t>Mean</t>
  </si>
  <si>
    <t>Range</t>
  </si>
  <si>
    <t>Variance</t>
  </si>
  <si>
    <t>A</t>
  </si>
  <si>
    <t>B</t>
  </si>
  <si>
    <t>C</t>
  </si>
  <si>
    <t>D</t>
  </si>
  <si>
    <t>E</t>
  </si>
  <si>
    <t>8) Problem : A company wants to analyze the ages of its employees to understand the age distribution and demographics within the organization.</t>
  </si>
  <si>
    <t>Data: Let's consider the ages of 100 employees:</t>
  </si>
  <si>
    <t>28, 32, 35, 40, 42, 28, 33, 38, 30, 41,</t>
  </si>
  <si>
    <t>37, 31, 34, 29, 36, 43, 39, 27, 35, 31,</t>
  </si>
  <si>
    <t>39, 45, 29, 33, 37, 40, 36, 29, 31, 38,</t>
  </si>
  <si>
    <t>35, 44, 32, 39, 36, 30, 33, 28, 41, 35,</t>
  </si>
  <si>
    <t>31, 37, 42, 29, 34, 40, 31, 33, 38, 36,</t>
  </si>
  <si>
    <t>39, 27, 35, 30, 43, 29, 32, 36, 31, 40,</t>
  </si>
  <si>
    <t>38, 44, 37, 33, 35, 41, 30, 31, 39, 28,</t>
  </si>
  <si>
    <t>45, 29, 33, 38, 34, 32, 35, 31, 40, 36,</t>
  </si>
  <si>
    <t>38, 44, 37, 33, 35, 41, 30, 31, 39, 28</t>
  </si>
  <si>
    <t>Values</t>
  </si>
  <si>
    <t>Q-1-Freq.</t>
  </si>
  <si>
    <t>Q-2-Mode</t>
  </si>
  <si>
    <t>Q-3-Median</t>
  </si>
  <si>
    <t>Q-4-Range</t>
  </si>
  <si>
    <t>9) Problem :A retail store wants to analyze the purchase amounts made by customers to understand their spending habits.</t>
  </si>
  <si>
    <t>Data: Let's consider the purchase amounts (in dollars) for a sample of 50 customers:</t>
  </si>
  <si>
    <t>56, 40, 28, 73, 52, 61, 35, 40, 47, 65,</t>
  </si>
  <si>
    <t>52, 44, 38, 60, 56, 40, 36, 49, 68, 57,</t>
  </si>
  <si>
    <t>52, 63, 41, 48, 55, 42, 39, 58, 62, 49,</t>
  </si>
  <si>
    <t>59, 45, 47, 51, 65, 41, 48, 55, 42, 39,</t>
  </si>
  <si>
    <t>58, 62, 49, 59, 45, 47, 51, 65, 43, 58</t>
  </si>
  <si>
    <t>Q-4-IQR</t>
  </si>
  <si>
    <t>Q1</t>
  </si>
  <si>
    <t>Q3</t>
  </si>
  <si>
    <t>10) Problem : A manufacturing company wants to analyze the defect rates of its production line to identify the frequency of different types of defects.</t>
  </si>
  <si>
    <t>Data: Let's consider the types of defects and their corresponding frequencies observed in a sample of 200 products:</t>
  </si>
  <si>
    <t>Defect Type: A, B, C, D, E, F, G</t>
  </si>
  <si>
    <t>Frequency: 30, 40, 20, 10, 45, 25, 30</t>
  </si>
  <si>
    <t xml:space="preserve"> C</t>
  </si>
  <si>
    <t xml:space="preserve"> D</t>
  </si>
  <si>
    <t xml:space="preserve"> E</t>
  </si>
  <si>
    <t xml:space="preserve"> F</t>
  </si>
  <si>
    <t xml:space="preserve"> G</t>
  </si>
  <si>
    <t>Defect Type</t>
  </si>
  <si>
    <t xml:space="preserve"> A</t>
  </si>
  <si>
    <t>Frequency</t>
  </si>
  <si>
    <t>Q-1-Bar Chart</t>
  </si>
  <si>
    <t>Ans : The defect type with the highest frequency is E.</t>
  </si>
  <si>
    <t>Q-2. Most Common Defect: Which defect type has the highest frequency?</t>
  </si>
  <si>
    <t>Q-3-Histogram</t>
  </si>
  <si>
    <t>11) Problem : A survey was conducted to gather feedback from customers about their satisfaction levels with a specific service on a scale of 1 to 5.</t>
  </si>
  <si>
    <t>Let's consider the satisfaction ratings from 100 customers:</t>
  </si>
  <si>
    <t>4, 5, 3, 4, 4, 3, 2, 5, 4, 3,</t>
  </si>
  <si>
    <t>5, 4, 2, 3, 4, 5, 3, 4, 5, 3,</t>
  </si>
  <si>
    <t>4, 3, 2, 4, 5, 3, 4, 5, 4, 3,</t>
  </si>
  <si>
    <t>3, 4, 5, 2, 3, 4, 4, 3, 5, 4,</t>
  </si>
  <si>
    <t>3, 4, 5, 4, 2, 3, 4, 5, 3, 4,</t>
  </si>
  <si>
    <t>5, 4, 3, 4, 5, 3, 4, 5, 4, 3,</t>
  </si>
  <si>
    <t>3, 4, 5, 2, 3, 4, 4, 3, 5, 4</t>
  </si>
  <si>
    <t>Customers</t>
  </si>
  <si>
    <t>Q-1-Histogram</t>
  </si>
  <si>
    <t>Q-3-Bar Chart</t>
  </si>
  <si>
    <t>12) Problem : A company wants to analyze the monthly sales figures of its products to understand the sales distribution across different price ranges.</t>
  </si>
  <si>
    <t>Data: Let's consider the monthly sales figures (in thousands of dollars) for a sample of 50 products:</t>
  </si>
  <si>
    <t>Sales:</t>
  </si>
  <si>
    <t>35, 28, 32, 45, 38, 29, 42, 30, 36, 41,</t>
  </si>
  <si>
    <t>47, 31, 39, 43, 37, 30, 34, 39, 28, 33,</t>
  </si>
  <si>
    <t>36, 40, 42, 29, 31, 45, 38, 33, 41, 35,</t>
  </si>
  <si>
    <t>37, 34, 46, 30, 39, 43, 28, 32, 36, 29,</t>
  </si>
  <si>
    <t>31, 37, 40, 42, 33, 39, 28, 35, 38, 43</t>
  </si>
  <si>
    <t>Sales</t>
  </si>
  <si>
    <t>Q-1-Histrogram</t>
  </si>
  <si>
    <t>Q-2-Mean</t>
  </si>
  <si>
    <t>13) Problem : A study was conducted to analyze the response times of a website for different user locations.</t>
  </si>
  <si>
    <t>Data: Let's consider the response times (in milliseconds) for a sample of 200 user requests: Response Times:</t>
  </si>
  <si>
    <t>125, 148, 137, 120, 135, 132, 145, 122, 130, 141,</t>
  </si>
  <si>
    <t>118, 125, 132, 136, 128, 123, 132, 138, 126, 129,</t>
  </si>
  <si>
    <t>136, 127, 130, 122, 125, 133, 140, 126, 133, 135,</t>
  </si>
  <si>
    <t>130, 134, 141, 119, 125, 131, 136, 128, 124, 132,</t>
  </si>
  <si>
    <t>130, 134, 141, 119, 125, 131, 136, 128, 124, 132</t>
  </si>
  <si>
    <t>Sample</t>
  </si>
  <si>
    <t>14) Problem : A company wants to analyze the sales performance of its products across different regions.</t>
  </si>
  <si>
    <t>Data: Let's consider the sales figures (in thousands of dollars) for a sample of 50 products in three regions:</t>
  </si>
  <si>
    <t>Region 1</t>
  </si>
  <si>
    <t>Region 2</t>
  </si>
  <si>
    <t>Region 3</t>
  </si>
  <si>
    <t xml:space="preserve"> 45, 35, 40, 38, 42, 37, 39, 43, 44, 41,</t>
  </si>
  <si>
    <t xml:space="preserve"> 32, 28, 30, 34, 33, 35, 31, 29, 36, 37,</t>
  </si>
  <si>
    <t xml:space="preserve"> 40, 39, 42, 41, 38, 43, 45, 44, 41, 37</t>
  </si>
  <si>
    <t>Q-3-Range</t>
  </si>
  <si>
    <t>1) Question : A company wants to analyze the monthly returns of its investment portfolio to understand the distribution and risk associated with the returns.</t>
  </si>
  <si>
    <t>Data: Let's consider the monthly returns (%) for the portfolio over a one-year period:</t>
  </si>
  <si>
    <t>Returns:</t>
  </si>
  <si>
    <t>Q-1-Skewness</t>
  </si>
  <si>
    <t>Q-2-Kurtosis</t>
  </si>
  <si>
    <t>Q-3-Interpretation: Based on the skewness and kurtosis values, what can be said about the distribution of returns?</t>
  </si>
  <si>
    <t>● The negative kurtosis suggests that the distribution is platykurtic, meaning it has thinner tails compared to a normal distribution, indicating fewer extreme values or outliers.</t>
  </si>
  <si>
    <t>● The skewness value is close to zero, indicating that the distribution of monthly returns is approximately symmetric.</t>
  </si>
  <si>
    <t>Ans :</t>
  </si>
  <si>
    <t>2) Question : A research study wants to analyze the income distribution of a population to understand the level of income inequality.</t>
  </si>
  <si>
    <t>Data: Let's consider the monthly incomes (in thousands of dollars) of a sample of 100 individuals:</t>
  </si>
  <si>
    <t>Incomes:</t>
  </si>
  <si>
    <t>Q-3-Interpretation: Based on the skewness and kurtosis values, what can be inferred about the income inequality?</t>
  </si>
  <si>
    <t>The income distribution is fairly symmetric but slightly skewed to the right, meaning there are a few higher-income individuals.</t>
  </si>
  <si>
    <t>The negative kurtosis suggests that the income distribution has fewer extreme values (both high and low) compared to a normal distribution, indicating a relatively even spread of incomes.</t>
  </si>
  <si>
    <t>3) Question : A survey was conducted to analyze the satisfaction ratings of customers on a scale of 1 to 5 for a specific product.</t>
  </si>
  <si>
    <t>Data: Let's consider the satisfaction ratings from 200 customers:</t>
  </si>
  <si>
    <t>Ratings:</t>
  </si>
  <si>
    <t>Q-3-Interpretation: Based on the skewness and kurtosis values, what can be inferred about the satisfaction ratings distribution?</t>
  </si>
  <si>
    <r>
      <rPr>
        <b/>
        <sz val="11"/>
        <color theme="1"/>
        <rFont val="Calibri"/>
        <family val="2"/>
        <scheme val="minor"/>
      </rPr>
      <t>:-</t>
    </r>
    <r>
      <rPr>
        <sz val="11"/>
        <color theme="1"/>
        <rFont val="Calibri"/>
        <family val="2"/>
        <scheme val="minor"/>
      </rPr>
      <t xml:space="preserve"> The satisfaction ratings are fairly symmetrically distributed, with a slight tendency towards lower ratings.</t>
    </r>
  </si>
  <si>
    <r>
      <rPr>
        <b/>
        <sz val="11"/>
        <color theme="1"/>
        <rFont val="Calibri"/>
        <family val="2"/>
        <scheme val="minor"/>
      </rPr>
      <t>:-</t>
    </r>
    <r>
      <rPr>
        <sz val="11"/>
        <color theme="1"/>
        <rFont val="Calibri"/>
        <family val="2"/>
        <scheme val="minor"/>
      </rPr>
      <t xml:space="preserve"> The lower kurtosis value suggests that the ratings are more evenly spread rather than having extreme peaks.</t>
    </r>
  </si>
  <si>
    <t>4) Question : A study wants to analyze the distribution of house prices in a specific city to understand the market trends.</t>
  </si>
  <si>
    <t>Data: Let's consider the house prices (in thousands of dollars) for a sample of 150 houses:</t>
  </si>
  <si>
    <t>House Prices:</t>
  </si>
  <si>
    <t>Q-3-Interpretation: Based on the skewness and kurtosis values, what can be inferred about the distribution of house prices?</t>
  </si>
  <si>
    <t>● The skewness value (0.21) is close to zero, suggesting that the house price distribution is approximately symmetric with no strong skew towards higher or lower prices.</t>
  </si>
  <si>
    <t>● The kurtosis value (-1.04) is negative, indicating a platykurtic distribution, meaning the distribution has lighter tails and is flatter compared to a normal distribution.</t>
  </si>
  <si>
    <t>● This suggests that house prices are relatively evenly distributed without extreme outliers.</t>
  </si>
  <si>
    <t>5) Question : A company wants to analyze the waiting times of customers at a service center to improve operational efficiency.</t>
  </si>
  <si>
    <t>Data: Let's consider the waiting times (in minutes) for a sample of 100 customers:</t>
  </si>
  <si>
    <t>Waiting Times:</t>
  </si>
  <si>
    <t>● The skewness value (0.000) indicates that the waiting time distribution is perfectly symmetrical, meaning customers experience a balanced distribution of wait times.</t>
  </si>
  <si>
    <t>● The kurtosis value (-1.200) suggests a platykurtic distribution, meaning the distribution is flatter with lighter tails compared to a normal distribution.</t>
  </si>
  <si>
    <t>● This indicates that waiting times are fairly evenly spread without extreme long waits or significantly short wait times.</t>
  </si>
  <si>
    <t>1) Question : A company wants to analyze the salary distribution of its employees to determine the income levels at different percentiles.</t>
  </si>
  <si>
    <t>Q-3-Interpretation: Based on the skewness and kurtosis values, what can be inferred about the waiting time distribution?</t>
  </si>
  <si>
    <t>Data: Let's consider the monthly salaries (in thousands of dollars) of a sample of 200 employees:</t>
  </si>
  <si>
    <t>Salaries:</t>
  </si>
  <si>
    <t>Q-1- Quartiles</t>
  </si>
  <si>
    <t>Q-2-Percentiles</t>
  </si>
  <si>
    <t>Q-3-Interpretation: Based on the quartiles and percentiles, what can be inferred about the income distribution of the employees?</t>
  </si>
  <si>
    <t>● The median salary (Q2) is 252.5, which suggests that half of the employees earn below this amount, and half earn above it.</t>
  </si>
  <si>
    <t>● The interquartile range (Q3 - Q1) is 247.5, indicating a moderate spread of salaries between the 25th and 75th percentiles.</t>
  </si>
  <si>
    <t>● The 10th percentile (74.7) and 90th percentile (450.5) show that there is a significant range in salaries, suggesting income disparity within the company.</t>
  </si>
  <si>
    <t>● If the company aims to reduce wage inequality, they might consider adjusting the lower quartile salaries upwards to narrow the gap.</t>
  </si>
  <si>
    <t>2) Question : A research study wants to analyze the weight distribution of a sample of individuals to assess their health and body composition.</t>
  </si>
  <si>
    <t>Data: Let's consider the weights (in kilograms) of a sample of 100 individuals:</t>
  </si>
  <si>
    <t>Weights:</t>
  </si>
  <si>
    <t>Median(Q2)</t>
  </si>
  <si>
    <t>Q-3-Interpretation: Based on the quartiles and percentiles, what can be inferred about the weight distribution of the individuals?</t>
  </si>
  <si>
    <t>● The weight distribution appears spread out, with a wide range of values.</t>
  </si>
  <si>
    <t>● The median weight is 267.5 kg, meaning half of the individuals weigh less than this, and half weigh more.</t>
  </si>
  <si>
    <t>● The first quartile (Q1) is 143.75 kg, indicating that 25% of individuals weigh below this.</t>
  </si>
  <si>
    <t>3) Question : A retail store wants to analyze the distribution of customer purchase amounts to identify their spending patterns.</t>
  </si>
  <si>
    <t>Data: Let's consider the purchase amounts (in dollars) of a sample of 150 customers:</t>
  </si>
  <si>
    <t>Purchase Amounts:</t>
  </si>
  <si>
    <t>Q-3-Interpretation: Based on the quartiles and percentiles, what can be inferred about the spending patterns of the customers?</t>
  </si>
  <si>
    <t>● The median purchase amount is $292.5, meaning that half of the customers spend below this amount, and half spend above it.</t>
  </si>
  <si>
    <t>● The first quartile (Q1) is $156.25, indicating that 25% of customers spend less than this amount.</t>
  </si>
  <si>
    <t>● The third quartile (Q3) is $428.75, meaning that 75% of customers spend below this amount, while the top 25% spend more.</t>
  </si>
  <si>
    <t>● The 80th percentile is $456.0, showing that 80% of customers spend below this amount, and only the top 20% of spenders exceed it.</t>
  </si>
  <si>
    <t>● The distribution suggests a gradual increase in spending with a broad range of purchase amounts, indicating diverse customer spending patterns.</t>
  </si>
  <si>
    <t>4) Question : A study wants to analyze the distribution of commute times of employees to determine the average time spent traveling to work.</t>
  </si>
  <si>
    <t>Data: Let's consider the commute times (in minutes) of a sample of 250 employees:</t>
  </si>
  <si>
    <t>Commute Times:</t>
  </si>
  <si>
    <t>Q-3-Interpretation: Based on the quartiles and percentiles, what can be inferred about the average commute time of the employees?</t>
  </si>
  <si>
    <t>● The median commute time of employees is 312.5 minutes, meaning half of the employees take less than or equal to this time to commute.</t>
  </si>
  <si>
    <t>● The first quartile (Q1 = 163.75 minutes) indicates that 25% of employees have commute times below this value.</t>
  </si>
  <si>
    <t>● The third quartile (Q3 = 461.25 minutes) shows that 75% of employees have commute times below this value.</t>
  </si>
  <si>
    <t>● The 30th percentile (193.5 minutes) suggests that 30% of employees commute less than about 193.5 minutes, while the 70th percentile (431.5 minutes) shows that 70% of employees have commute times below about 431.5 minutes.</t>
  </si>
  <si>
    <t>● The commute time distribution is right-skewed, meaning a significant number of employees experience long commute times.</t>
  </si>
  <si>
    <t>5) Question : A manufacturing company wants to analyze the defect rates in its production process to evaluate product quality.</t>
  </si>
  <si>
    <t>Data: Let's consider the defect rates (in percentage) for a sample of 300 products:</t>
  </si>
  <si>
    <t>Defect Rates:</t>
  </si>
  <si>
    <t>Q-3-Interpretation: Based on the quartiles and percentiles, what can be inferred about the quality of the products?</t>
  </si>
  <si>
    <t>● The median defect rate is 0.7%, meaning half of the products have a defect rate below or equal to this value.</t>
  </si>
  <si>
    <t>● The first quartile (Q1 = 0.4%) shows that 25% of the products have a defect rate below this value, indicating a fairly low defect rate for a quarter of the sample.</t>
  </si>
  <si>
    <t>● The third quartile (Q3 = 0.9%) suggests that 75% of the products have defect rates below this value.</t>
  </si>
  <si>
    <t>● Since the range between Q1 and Q3 is relatively small (0.4% to 0.9%), it suggests low variability in defect rates.</t>
  </si>
  <si>
    <t>● The overall defect rate appears to be low, which indicates good product quality in most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</si>
</sst>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0" fillId="0" borderId="2" xfId="0" applyBorder="1"/>
    <xf numFmtId="0" fontId="1" fillId="0" borderId="2" xfId="0" applyFont="1" applyBorder="1"/>
    <xf numFmtId="2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9" fontId="1" fillId="0" borderId="1" xfId="0" applyNumberFormat="1" applyFont="1" applyBorder="1"/>
    <xf numFmtId="9" fontId="1" fillId="0" borderId="0" xfId="0" applyNumberFormat="1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Section'!$B$8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Section'!$A$9:$A$14</c:f>
              <c:strCache>
                <c:ptCount val="6"/>
                <c:pt idx="0">
                  <c:v> A</c:v>
                </c:pt>
                <c:pt idx="1">
                  <c:v> C</c:v>
                </c:pt>
                <c:pt idx="2">
                  <c:v> D</c:v>
                </c:pt>
                <c:pt idx="3">
                  <c:v> E</c:v>
                </c:pt>
                <c:pt idx="4">
                  <c:v> F</c:v>
                </c:pt>
                <c:pt idx="5">
                  <c:v> G</c:v>
                </c:pt>
              </c:strCache>
            </c:strRef>
          </c:cat>
          <c:val>
            <c:numRef>
              <c:f>'Charts Section'!$B$9:$B$14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45</c:v>
                </c:pt>
                <c:pt idx="4">
                  <c:v>25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D-4117-BBFC-B01A70DD5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03920"/>
        <c:axId val="1533920720"/>
      </c:barChart>
      <c:catAx>
        <c:axId val="153390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20720"/>
        <c:crosses val="autoZero"/>
        <c:auto val="1"/>
        <c:lblAlgn val="ctr"/>
        <c:lblOffset val="100"/>
        <c:noMultiLvlLbl val="0"/>
      </c:catAx>
      <c:valAx>
        <c:axId val="15339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0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Section'!$B$8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Section'!$A$9:$A$14</c:f>
              <c:strCache>
                <c:ptCount val="6"/>
                <c:pt idx="0">
                  <c:v> A</c:v>
                </c:pt>
                <c:pt idx="1">
                  <c:v> C</c:v>
                </c:pt>
                <c:pt idx="2">
                  <c:v> D</c:v>
                </c:pt>
                <c:pt idx="3">
                  <c:v> E</c:v>
                </c:pt>
                <c:pt idx="4">
                  <c:v> F</c:v>
                </c:pt>
                <c:pt idx="5">
                  <c:v> G</c:v>
                </c:pt>
              </c:strCache>
            </c:strRef>
          </c:cat>
          <c:val>
            <c:numRef>
              <c:f>'Charts Section'!$B$9:$B$14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45</c:v>
                </c:pt>
                <c:pt idx="4">
                  <c:v>25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C-405C-B33C-8F50593D3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33903920"/>
        <c:axId val="1533920720"/>
      </c:barChart>
      <c:catAx>
        <c:axId val="153390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20720"/>
        <c:crosses val="autoZero"/>
        <c:auto val="1"/>
        <c:lblAlgn val="ctr"/>
        <c:lblOffset val="100"/>
        <c:noMultiLvlLbl val="0"/>
      </c:catAx>
      <c:valAx>
        <c:axId val="15339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0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Section'!$C$44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Section'!$B$45:$B$49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'Charts Section'!$C$45:$C$49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30</c:v>
                </c:pt>
                <c:pt idx="3">
                  <c:v>39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1-47F6-BCF7-C675E6116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887600"/>
        <c:axId val="1533871280"/>
      </c:barChart>
      <c:catAx>
        <c:axId val="15338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71280"/>
        <c:crosses val="autoZero"/>
        <c:auto val="1"/>
        <c:lblAlgn val="ctr"/>
        <c:lblOffset val="100"/>
        <c:noMultiLvlLbl val="0"/>
      </c:catAx>
      <c:valAx>
        <c:axId val="15338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8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Section'!$C$44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Section'!$B$45:$B$49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'Charts Section'!$C$45:$C$49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30</c:v>
                </c:pt>
                <c:pt idx="3">
                  <c:v>39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4-4C88-82F8-BE3357502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33887600"/>
        <c:axId val="1533871280"/>
      </c:barChart>
      <c:catAx>
        <c:axId val="15338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71280"/>
        <c:crosses val="autoZero"/>
        <c:auto val="1"/>
        <c:lblAlgn val="ctr"/>
        <c:lblOffset val="100"/>
        <c:noMultiLvlLbl val="0"/>
      </c:catAx>
      <c:valAx>
        <c:axId val="15338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8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Section'!$C$157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Section'!$B$158:$B$176</c:f>
              <c:numCache>
                <c:formatCode>General</c:formatCode>
                <c:ptCount val="19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</c:numCache>
            </c:numRef>
          </c:cat>
          <c:val>
            <c:numRef>
              <c:f>'Charts Section'!$C$158:$C$176</c:f>
              <c:numCache>
                <c:formatCode>General</c:formatCode>
                <c:ptCount val="1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C-4ED9-BF63-24D42681F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648416"/>
        <c:axId val="1269638816"/>
      </c:barChart>
      <c:catAx>
        <c:axId val="12696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38816"/>
        <c:crosses val="autoZero"/>
        <c:auto val="1"/>
        <c:lblAlgn val="ctr"/>
        <c:lblOffset val="100"/>
        <c:noMultiLvlLbl val="0"/>
      </c:catAx>
      <c:valAx>
        <c:axId val="12696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4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Section'!$C$157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Section'!$B$158:$B$176</c:f>
              <c:numCache>
                <c:formatCode>General</c:formatCode>
                <c:ptCount val="19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</c:numCache>
            </c:numRef>
          </c:cat>
          <c:val>
            <c:numRef>
              <c:f>'Charts Section'!$C$158:$C$176</c:f>
              <c:numCache>
                <c:formatCode>General</c:formatCode>
                <c:ptCount val="1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C-4D3A-B979-74A59FF96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69648416"/>
        <c:axId val="1269638816"/>
      </c:barChart>
      <c:catAx>
        <c:axId val="12696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38816"/>
        <c:crosses val="autoZero"/>
        <c:auto val="1"/>
        <c:lblAlgn val="ctr"/>
        <c:lblOffset val="100"/>
        <c:noMultiLvlLbl val="0"/>
      </c:catAx>
      <c:valAx>
        <c:axId val="12696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4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Section'!$A$334</c:f>
              <c:strCache>
                <c:ptCount val="1"/>
                <c:pt idx="0">
                  <c:v>Region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'Charts Section'!$A$335:$A$344</c:f>
              <c:numCache>
                <c:formatCode>General</c:formatCode>
                <c:ptCount val="10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38</c:v>
                </c:pt>
                <c:pt idx="4">
                  <c:v>42</c:v>
                </c:pt>
                <c:pt idx="5">
                  <c:v>37</c:v>
                </c:pt>
                <c:pt idx="6">
                  <c:v>39</c:v>
                </c:pt>
                <c:pt idx="7">
                  <c:v>43</c:v>
                </c:pt>
                <c:pt idx="8">
                  <c:v>44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0-489E-A861-F60EFBDF7B89}"/>
            </c:ext>
          </c:extLst>
        </c:ser>
        <c:ser>
          <c:idx val="1"/>
          <c:order val="1"/>
          <c:tx>
            <c:strRef>
              <c:f>'Charts Section'!$B$334</c:f>
              <c:strCache>
                <c:ptCount val="1"/>
                <c:pt idx="0">
                  <c:v>Region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'Charts Section'!$B$335:$B$344</c:f>
              <c:numCache>
                <c:formatCode>General</c:formatCode>
                <c:ptCount val="10"/>
                <c:pt idx="0">
                  <c:v>32</c:v>
                </c:pt>
                <c:pt idx="1">
                  <c:v>28</c:v>
                </c:pt>
                <c:pt idx="2">
                  <c:v>30</c:v>
                </c:pt>
                <c:pt idx="3">
                  <c:v>34</c:v>
                </c:pt>
                <c:pt idx="4">
                  <c:v>33</c:v>
                </c:pt>
                <c:pt idx="5">
                  <c:v>35</c:v>
                </c:pt>
                <c:pt idx="6">
                  <c:v>31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0-489E-A861-F60EFBDF7B89}"/>
            </c:ext>
          </c:extLst>
        </c:ser>
        <c:ser>
          <c:idx val="2"/>
          <c:order val="2"/>
          <c:tx>
            <c:strRef>
              <c:f>'Charts Section'!$C$334</c:f>
              <c:strCache>
                <c:ptCount val="1"/>
                <c:pt idx="0">
                  <c:v>Region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'Charts Section'!$C$335:$C$344</c:f>
              <c:numCache>
                <c:formatCode>General</c:formatCode>
                <c:ptCount val="10"/>
                <c:pt idx="0">
                  <c:v>40</c:v>
                </c:pt>
                <c:pt idx="1">
                  <c:v>39</c:v>
                </c:pt>
                <c:pt idx="2">
                  <c:v>42</c:v>
                </c:pt>
                <c:pt idx="3">
                  <c:v>41</c:v>
                </c:pt>
                <c:pt idx="4">
                  <c:v>38</c:v>
                </c:pt>
                <c:pt idx="5">
                  <c:v>43</c:v>
                </c:pt>
                <c:pt idx="6">
                  <c:v>45</c:v>
                </c:pt>
                <c:pt idx="7">
                  <c:v>44</c:v>
                </c:pt>
                <c:pt idx="8">
                  <c:v>41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30-489E-A861-F60EFBDF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028031"/>
        <c:axId val="852020351"/>
      </c:barChart>
      <c:catAx>
        <c:axId val="85202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20351"/>
        <c:crosses val="autoZero"/>
        <c:auto val="1"/>
        <c:lblAlgn val="ctr"/>
        <c:lblOffset val="100"/>
        <c:noMultiLvlLbl val="0"/>
      </c:catAx>
      <c:valAx>
        <c:axId val="8520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2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Section'!$C$224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Section'!$B$225:$B$248</c:f>
              <c:numCache>
                <c:formatCode>General</c:formatCode>
                <c:ptCount val="24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  <c:pt idx="3">
                  <c:v>122</c:v>
                </c:pt>
                <c:pt idx="4">
                  <c:v>123</c:v>
                </c:pt>
                <c:pt idx="5">
                  <c:v>124</c:v>
                </c:pt>
                <c:pt idx="6">
                  <c:v>125</c:v>
                </c:pt>
                <c:pt idx="7">
                  <c:v>126</c:v>
                </c:pt>
                <c:pt idx="8">
                  <c:v>127</c:v>
                </c:pt>
                <c:pt idx="9">
                  <c:v>128</c:v>
                </c:pt>
                <c:pt idx="10">
                  <c:v>129</c:v>
                </c:pt>
                <c:pt idx="11">
                  <c:v>130</c:v>
                </c:pt>
                <c:pt idx="12">
                  <c:v>131</c:v>
                </c:pt>
                <c:pt idx="13">
                  <c:v>132</c:v>
                </c:pt>
                <c:pt idx="14">
                  <c:v>133</c:v>
                </c:pt>
                <c:pt idx="15">
                  <c:v>134</c:v>
                </c:pt>
                <c:pt idx="16">
                  <c:v>135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140</c:v>
                </c:pt>
                <c:pt idx="21">
                  <c:v>141</c:v>
                </c:pt>
                <c:pt idx="22">
                  <c:v>145</c:v>
                </c:pt>
                <c:pt idx="23">
                  <c:v>148</c:v>
                </c:pt>
              </c:numCache>
            </c:numRef>
          </c:cat>
          <c:val>
            <c:numRef>
              <c:f>'Charts Section'!$C$225:$C$248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5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BCD-9908-25699658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378352"/>
        <c:axId val="715390352"/>
      </c:barChart>
      <c:catAx>
        <c:axId val="71537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90352"/>
        <c:crosses val="autoZero"/>
        <c:auto val="1"/>
        <c:lblAlgn val="ctr"/>
        <c:lblOffset val="100"/>
        <c:noMultiLvlLbl val="0"/>
      </c:catAx>
      <c:valAx>
        <c:axId val="7153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7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Section'!$C$224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'Charts Section'!$B$225:$B$248</c:f>
              <c:numCache>
                <c:formatCode>General</c:formatCode>
                <c:ptCount val="24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  <c:pt idx="3">
                  <c:v>122</c:v>
                </c:pt>
                <c:pt idx="4">
                  <c:v>123</c:v>
                </c:pt>
                <c:pt idx="5">
                  <c:v>124</c:v>
                </c:pt>
                <c:pt idx="6">
                  <c:v>125</c:v>
                </c:pt>
                <c:pt idx="7">
                  <c:v>126</c:v>
                </c:pt>
                <c:pt idx="8">
                  <c:v>127</c:v>
                </c:pt>
                <c:pt idx="9">
                  <c:v>128</c:v>
                </c:pt>
                <c:pt idx="10">
                  <c:v>129</c:v>
                </c:pt>
                <c:pt idx="11">
                  <c:v>130</c:v>
                </c:pt>
                <c:pt idx="12">
                  <c:v>131</c:v>
                </c:pt>
                <c:pt idx="13">
                  <c:v>132</c:v>
                </c:pt>
                <c:pt idx="14">
                  <c:v>133</c:v>
                </c:pt>
                <c:pt idx="15">
                  <c:v>134</c:v>
                </c:pt>
                <c:pt idx="16">
                  <c:v>135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140</c:v>
                </c:pt>
                <c:pt idx="21">
                  <c:v>141</c:v>
                </c:pt>
                <c:pt idx="22">
                  <c:v>145</c:v>
                </c:pt>
                <c:pt idx="23">
                  <c:v>148</c:v>
                </c:pt>
              </c:numCache>
            </c:numRef>
          </c:cat>
          <c:val>
            <c:numRef>
              <c:f>'Charts Section'!$C$225:$C$248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5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E-48FC-AF36-64FDE7EC2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15378352"/>
        <c:axId val="715390352"/>
      </c:barChart>
      <c:catAx>
        <c:axId val="71537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90352"/>
        <c:crosses val="autoZero"/>
        <c:auto val="1"/>
        <c:lblAlgn val="ctr"/>
        <c:lblOffset val="100"/>
        <c:noMultiLvlLbl val="0"/>
      </c:catAx>
      <c:valAx>
        <c:axId val="7153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7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9</xdr:row>
      <xdr:rowOff>0</xdr:rowOff>
    </xdr:from>
    <xdr:to>
      <xdr:col>10</xdr:col>
      <xdr:colOff>7620</xdr:colOff>
      <xdr:row>23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834C4-F084-E28F-B1FE-198A283B7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19</xdr:col>
      <xdr:colOff>0</xdr:colOff>
      <xdr:row>23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6E6771-0B52-458C-8867-195F058C3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45</xdr:row>
      <xdr:rowOff>3810</xdr:rowOff>
    </xdr:from>
    <xdr:to>
      <xdr:col>19</xdr:col>
      <xdr:colOff>304800</xdr:colOff>
      <xdr:row>60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624164-D982-5F2A-3C0B-A66247418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7620</xdr:colOff>
      <xdr:row>60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6B7508-10F0-4E57-90FF-B09474FF3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151</xdr:row>
      <xdr:rowOff>179070</xdr:rowOff>
    </xdr:from>
    <xdr:to>
      <xdr:col>19</xdr:col>
      <xdr:colOff>601980</xdr:colOff>
      <xdr:row>166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616BC4-3356-3E40-2D52-3180FBC5F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152</xdr:row>
      <xdr:rowOff>0</xdr:rowOff>
    </xdr:from>
    <xdr:to>
      <xdr:col>11</xdr:col>
      <xdr:colOff>7620</xdr:colOff>
      <xdr:row>167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4C92EC-E75E-446C-AA19-227E85C6B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331</xdr:row>
      <xdr:rowOff>3810</xdr:rowOff>
    </xdr:from>
    <xdr:to>
      <xdr:col>12</xdr:col>
      <xdr:colOff>601980</xdr:colOff>
      <xdr:row>346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E238C3-9665-6639-6F8A-8C3B2A91C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213</xdr:row>
      <xdr:rowOff>179070</xdr:rowOff>
    </xdr:from>
    <xdr:to>
      <xdr:col>19</xdr:col>
      <xdr:colOff>15240</xdr:colOff>
      <xdr:row>228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275203-2D15-0B32-9204-690E4A8A5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214</xdr:row>
      <xdr:rowOff>0</xdr:rowOff>
    </xdr:from>
    <xdr:to>
      <xdr:col>11</xdr:col>
      <xdr:colOff>0</xdr:colOff>
      <xdr:row>229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197398F-2EF1-4EFC-8C4B-600158786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A455-4C14-4CC7-876F-FB61CB61E74B}">
  <dimension ref="A1:R99"/>
  <sheetViews>
    <sheetView zoomScale="106" zoomScaleNormal="106" workbookViewId="0">
      <selection activeCell="R19" sqref="R19"/>
    </sheetView>
  </sheetViews>
  <sheetFormatPr defaultRowHeight="14.4" x14ac:dyDescent="0.3"/>
  <cols>
    <col min="1" max="1" width="11.21875" customWidth="1"/>
    <col min="3" max="3" width="11" bestFit="1" customWidth="1"/>
    <col min="6" max="6" width="11" bestFit="1" customWidth="1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x14ac:dyDescent="0.3">
      <c r="A3" s="1" t="s">
        <v>1</v>
      </c>
      <c r="B3" s="1"/>
      <c r="C3" s="1"/>
      <c r="D3" s="1"/>
      <c r="E3" s="1"/>
      <c r="F3" s="1"/>
      <c r="G3" s="1"/>
      <c r="H3" s="1"/>
    </row>
    <row r="5" spans="1:16" x14ac:dyDescent="0.3">
      <c r="A5" s="3" t="s">
        <v>2</v>
      </c>
      <c r="B5" s="2"/>
      <c r="C5" s="3" t="s">
        <v>7</v>
      </c>
    </row>
    <row r="6" spans="1:16" x14ac:dyDescent="0.3">
      <c r="A6" s="2"/>
      <c r="B6" s="2"/>
      <c r="C6" s="2"/>
    </row>
    <row r="7" spans="1:16" x14ac:dyDescent="0.3">
      <c r="A7" s="2" t="s">
        <v>3</v>
      </c>
      <c r="B7" s="2"/>
      <c r="C7" s="2">
        <v>50</v>
      </c>
    </row>
    <row r="8" spans="1:16" x14ac:dyDescent="0.3">
      <c r="A8" s="2" t="s">
        <v>4</v>
      </c>
      <c r="B8" s="2"/>
      <c r="C8" s="2">
        <v>60</v>
      </c>
    </row>
    <row r="9" spans="1:16" x14ac:dyDescent="0.3">
      <c r="A9" s="2" t="s">
        <v>5</v>
      </c>
      <c r="B9" s="2"/>
      <c r="C9" s="2">
        <v>55</v>
      </c>
    </row>
    <row r="10" spans="1:16" x14ac:dyDescent="0.3">
      <c r="A10" s="2" t="s">
        <v>6</v>
      </c>
      <c r="B10" s="2"/>
      <c r="C10" s="2">
        <v>70</v>
      </c>
    </row>
    <row r="12" spans="1:16" x14ac:dyDescent="0.3">
      <c r="A12" s="3" t="s">
        <v>13</v>
      </c>
      <c r="B12" s="2">
        <f>AVERAGE(C7:C10)</f>
        <v>58.75</v>
      </c>
    </row>
    <row r="13" spans="1:16" x14ac:dyDescent="0.3">
      <c r="A13" s="3" t="s">
        <v>14</v>
      </c>
      <c r="B13" s="2">
        <f>MEDIAN(C7:C10)</f>
        <v>57.5</v>
      </c>
    </row>
    <row r="14" spans="1:16" x14ac:dyDescent="0.3">
      <c r="A14" s="3" t="s">
        <v>15</v>
      </c>
      <c r="B14" s="2" t="s">
        <v>8</v>
      </c>
    </row>
    <row r="16" spans="1:16" x14ac:dyDescent="0.3">
      <c r="A16" s="1" t="s">
        <v>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8" spans="1:7" x14ac:dyDescent="0.3">
      <c r="A18" s="1" t="s">
        <v>10</v>
      </c>
      <c r="B18" s="1"/>
      <c r="C18" s="1"/>
      <c r="D18" s="1"/>
      <c r="E18" s="1"/>
      <c r="F18" s="1"/>
      <c r="G18" s="1"/>
    </row>
    <row r="20" spans="1:7" x14ac:dyDescent="0.3">
      <c r="A20" t="s">
        <v>11</v>
      </c>
    </row>
    <row r="21" spans="1:7" x14ac:dyDescent="0.3">
      <c r="A21" t="s">
        <v>12</v>
      </c>
    </row>
    <row r="23" spans="1:7" x14ac:dyDescent="0.3">
      <c r="A23" s="3" t="s">
        <v>7</v>
      </c>
      <c r="C23" s="3" t="s">
        <v>13</v>
      </c>
      <c r="D23" s="2">
        <f>AVERAGE(A24:A43)</f>
        <v>16.5</v>
      </c>
    </row>
    <row r="24" spans="1:7" x14ac:dyDescent="0.3">
      <c r="A24" s="2">
        <v>15</v>
      </c>
      <c r="C24" s="3" t="s">
        <v>14</v>
      </c>
      <c r="D24" s="2">
        <f>MEDIAN(A24:A43)</f>
        <v>15</v>
      </c>
    </row>
    <row r="25" spans="1:7" x14ac:dyDescent="0.3">
      <c r="A25" s="2">
        <v>10</v>
      </c>
      <c r="C25" s="3" t="s">
        <v>15</v>
      </c>
      <c r="D25" s="2">
        <f>_xlfn.MODE.SNGL(A24:A43)</f>
        <v>10</v>
      </c>
    </row>
    <row r="26" spans="1:7" x14ac:dyDescent="0.3">
      <c r="A26" s="2">
        <v>20</v>
      </c>
    </row>
    <row r="27" spans="1:7" x14ac:dyDescent="0.3">
      <c r="A27" s="2">
        <v>25</v>
      </c>
    </row>
    <row r="28" spans="1:7" x14ac:dyDescent="0.3">
      <c r="A28" s="2">
        <v>15</v>
      </c>
    </row>
    <row r="29" spans="1:7" x14ac:dyDescent="0.3">
      <c r="A29" s="2">
        <v>10</v>
      </c>
    </row>
    <row r="30" spans="1:7" x14ac:dyDescent="0.3">
      <c r="A30" s="2">
        <v>30</v>
      </c>
    </row>
    <row r="31" spans="1:7" x14ac:dyDescent="0.3">
      <c r="A31" s="2">
        <v>20</v>
      </c>
    </row>
    <row r="32" spans="1:7" x14ac:dyDescent="0.3">
      <c r="A32" s="2">
        <v>15</v>
      </c>
    </row>
    <row r="33" spans="1:18" x14ac:dyDescent="0.3">
      <c r="A33" s="2">
        <v>10</v>
      </c>
    </row>
    <row r="34" spans="1:18" x14ac:dyDescent="0.3">
      <c r="A34" s="2">
        <v>10</v>
      </c>
    </row>
    <row r="35" spans="1:18" x14ac:dyDescent="0.3">
      <c r="A35" s="2">
        <v>25</v>
      </c>
    </row>
    <row r="36" spans="1:18" x14ac:dyDescent="0.3">
      <c r="A36" s="2">
        <v>15</v>
      </c>
    </row>
    <row r="37" spans="1:18" x14ac:dyDescent="0.3">
      <c r="A37" s="2">
        <v>20</v>
      </c>
    </row>
    <row r="38" spans="1:18" x14ac:dyDescent="0.3">
      <c r="A38" s="2">
        <v>20</v>
      </c>
    </row>
    <row r="39" spans="1:18" x14ac:dyDescent="0.3">
      <c r="A39" s="2">
        <v>15</v>
      </c>
    </row>
    <row r="40" spans="1:18" x14ac:dyDescent="0.3">
      <c r="A40" s="2">
        <v>10</v>
      </c>
    </row>
    <row r="41" spans="1:18" x14ac:dyDescent="0.3">
      <c r="A41" s="2">
        <v>10</v>
      </c>
    </row>
    <row r="42" spans="1:18" x14ac:dyDescent="0.3">
      <c r="A42" s="2">
        <v>10</v>
      </c>
    </row>
    <row r="43" spans="1:18" x14ac:dyDescent="0.3">
      <c r="A43" s="2">
        <v>25</v>
      </c>
    </row>
    <row r="45" spans="1:18" x14ac:dyDescent="0.3">
      <c r="A45" s="1" t="s">
        <v>16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7" spans="1:18" x14ac:dyDescent="0.3">
      <c r="A47" s="1" t="s">
        <v>17</v>
      </c>
      <c r="B47" s="1"/>
      <c r="C47" s="1"/>
      <c r="D47" s="1"/>
      <c r="E47" s="1"/>
      <c r="F47" s="1"/>
      <c r="G47" s="1"/>
    </row>
    <row r="49" spans="1:7" x14ac:dyDescent="0.3">
      <c r="A49" t="s">
        <v>18</v>
      </c>
      <c r="D49" s="3" t="s">
        <v>7</v>
      </c>
    </row>
    <row r="50" spans="1:7" x14ac:dyDescent="0.3">
      <c r="A50" t="s">
        <v>19</v>
      </c>
      <c r="D50" s="2">
        <v>3</v>
      </c>
      <c r="F50" s="3" t="s">
        <v>13</v>
      </c>
      <c r="G50" s="2">
        <f>AVERAGE(D50:D99)</f>
        <v>3.44</v>
      </c>
    </row>
    <row r="51" spans="1:7" x14ac:dyDescent="0.3">
      <c r="A51" t="s">
        <v>20</v>
      </c>
      <c r="D51" s="2">
        <v>2</v>
      </c>
      <c r="F51" s="3" t="s">
        <v>14</v>
      </c>
      <c r="G51" s="2">
        <f>MEDIAN(D50:D99)</f>
        <v>3</v>
      </c>
    </row>
    <row r="52" spans="1:7" x14ac:dyDescent="0.3">
      <c r="A52" t="s">
        <v>21</v>
      </c>
      <c r="D52" s="2">
        <v>5</v>
      </c>
      <c r="F52" s="3" t="s">
        <v>15</v>
      </c>
      <c r="G52" s="2">
        <f>_xlfn.MODE.SNGL(D50:D99)</f>
        <v>2</v>
      </c>
    </row>
    <row r="53" spans="1:7" x14ac:dyDescent="0.3">
      <c r="A53" t="s">
        <v>22</v>
      </c>
      <c r="D53" s="2">
        <v>4</v>
      </c>
    </row>
    <row r="54" spans="1:7" x14ac:dyDescent="0.3">
      <c r="D54" s="2">
        <v>7</v>
      </c>
    </row>
    <row r="55" spans="1:7" x14ac:dyDescent="0.3">
      <c r="D55" s="2">
        <v>2</v>
      </c>
    </row>
    <row r="56" spans="1:7" x14ac:dyDescent="0.3">
      <c r="D56" s="2">
        <v>3</v>
      </c>
    </row>
    <row r="57" spans="1:7" x14ac:dyDescent="0.3">
      <c r="D57" s="2">
        <v>3</v>
      </c>
    </row>
    <row r="58" spans="1:7" x14ac:dyDescent="0.3">
      <c r="D58" s="2">
        <v>1</v>
      </c>
    </row>
    <row r="59" spans="1:7" x14ac:dyDescent="0.3">
      <c r="D59" s="2">
        <v>6</v>
      </c>
    </row>
    <row r="60" spans="1:7" x14ac:dyDescent="0.3">
      <c r="D60" s="2">
        <v>4</v>
      </c>
    </row>
    <row r="61" spans="1:7" x14ac:dyDescent="0.3">
      <c r="D61" s="2">
        <v>2</v>
      </c>
    </row>
    <row r="62" spans="1:7" x14ac:dyDescent="0.3">
      <c r="D62" s="2">
        <v>3</v>
      </c>
    </row>
    <row r="63" spans="1:7" x14ac:dyDescent="0.3">
      <c r="D63" s="2">
        <v>5</v>
      </c>
    </row>
    <row r="64" spans="1:7" x14ac:dyDescent="0.3">
      <c r="D64" s="2">
        <v>2</v>
      </c>
    </row>
    <row r="65" spans="4:4" x14ac:dyDescent="0.3">
      <c r="D65" s="2">
        <v>4</v>
      </c>
    </row>
    <row r="66" spans="4:4" x14ac:dyDescent="0.3">
      <c r="D66" s="2">
        <v>2</v>
      </c>
    </row>
    <row r="67" spans="4:4" x14ac:dyDescent="0.3">
      <c r="D67" s="2">
        <v>1</v>
      </c>
    </row>
    <row r="68" spans="4:4" x14ac:dyDescent="0.3">
      <c r="D68" s="2">
        <v>3</v>
      </c>
    </row>
    <row r="69" spans="4:4" x14ac:dyDescent="0.3">
      <c r="D69" s="2">
        <v>5</v>
      </c>
    </row>
    <row r="70" spans="4:4" x14ac:dyDescent="0.3">
      <c r="D70" s="2">
        <v>6</v>
      </c>
    </row>
    <row r="71" spans="4:4" x14ac:dyDescent="0.3">
      <c r="D71" s="2">
        <v>3</v>
      </c>
    </row>
    <row r="72" spans="4:4" x14ac:dyDescent="0.3">
      <c r="D72" s="2">
        <v>2</v>
      </c>
    </row>
    <row r="73" spans="4:4" x14ac:dyDescent="0.3">
      <c r="D73" s="2">
        <v>1</v>
      </c>
    </row>
    <row r="74" spans="4:4" x14ac:dyDescent="0.3">
      <c r="D74" s="2">
        <v>4</v>
      </c>
    </row>
    <row r="75" spans="4:4" x14ac:dyDescent="0.3">
      <c r="D75" s="2">
        <v>2</v>
      </c>
    </row>
    <row r="76" spans="4:4" x14ac:dyDescent="0.3">
      <c r="D76" s="2">
        <v>4</v>
      </c>
    </row>
    <row r="77" spans="4:4" x14ac:dyDescent="0.3">
      <c r="D77" s="2">
        <v>5</v>
      </c>
    </row>
    <row r="78" spans="4:4" x14ac:dyDescent="0.3">
      <c r="D78" s="2">
        <v>3</v>
      </c>
    </row>
    <row r="79" spans="4:4" x14ac:dyDescent="0.3">
      <c r="D79" s="2">
        <v>2</v>
      </c>
    </row>
    <row r="80" spans="4:4" x14ac:dyDescent="0.3">
      <c r="D80" s="2">
        <v>7</v>
      </c>
    </row>
    <row r="81" spans="4:4" x14ac:dyDescent="0.3">
      <c r="D81" s="2">
        <v>2</v>
      </c>
    </row>
    <row r="82" spans="4:4" x14ac:dyDescent="0.3">
      <c r="D82" s="2">
        <v>3</v>
      </c>
    </row>
    <row r="83" spans="4:4" x14ac:dyDescent="0.3">
      <c r="D83" s="2">
        <v>4</v>
      </c>
    </row>
    <row r="84" spans="4:4" x14ac:dyDescent="0.3">
      <c r="D84" s="2">
        <v>5</v>
      </c>
    </row>
    <row r="85" spans="4:4" x14ac:dyDescent="0.3">
      <c r="D85" s="2">
        <v>1</v>
      </c>
    </row>
    <row r="86" spans="4:4" x14ac:dyDescent="0.3">
      <c r="D86" s="2">
        <v>6</v>
      </c>
    </row>
    <row r="87" spans="4:4" x14ac:dyDescent="0.3">
      <c r="D87" s="2">
        <v>2</v>
      </c>
    </row>
    <row r="88" spans="4:4" x14ac:dyDescent="0.3">
      <c r="D88" s="2">
        <v>4</v>
      </c>
    </row>
    <row r="89" spans="4:4" x14ac:dyDescent="0.3">
      <c r="D89" s="2">
        <v>3</v>
      </c>
    </row>
    <row r="90" spans="4:4" x14ac:dyDescent="0.3">
      <c r="D90" s="2">
        <v>5</v>
      </c>
    </row>
    <row r="91" spans="4:4" x14ac:dyDescent="0.3">
      <c r="D91" s="2">
        <v>3</v>
      </c>
    </row>
    <row r="92" spans="4:4" x14ac:dyDescent="0.3">
      <c r="D92" s="2">
        <v>2</v>
      </c>
    </row>
    <row r="93" spans="4:4" x14ac:dyDescent="0.3">
      <c r="D93" s="2">
        <v>4</v>
      </c>
    </row>
    <row r="94" spans="4:4" x14ac:dyDescent="0.3">
      <c r="D94" s="2">
        <v>2</v>
      </c>
    </row>
    <row r="95" spans="4:4" x14ac:dyDescent="0.3">
      <c r="D95" s="2">
        <v>6</v>
      </c>
    </row>
    <row r="96" spans="4:4" x14ac:dyDescent="0.3">
      <c r="D96" s="2">
        <v>3</v>
      </c>
    </row>
    <row r="97" spans="4:4" x14ac:dyDescent="0.3">
      <c r="D97" s="2">
        <v>2</v>
      </c>
    </row>
    <row r="98" spans="4:4" x14ac:dyDescent="0.3">
      <c r="D98" s="2">
        <v>4</v>
      </c>
    </row>
    <row r="99" spans="4:4" x14ac:dyDescent="0.3">
      <c r="D99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9A28-2707-42E3-B968-B31A9803CF69}">
  <dimension ref="A1:N203"/>
  <sheetViews>
    <sheetView workbookViewId="0">
      <selection activeCell="G26" sqref="G26"/>
    </sheetView>
  </sheetViews>
  <sheetFormatPr defaultRowHeight="14.4" x14ac:dyDescent="0.3"/>
  <cols>
    <col min="3" max="3" width="9.6640625" bestFit="1" customWidth="1"/>
    <col min="6" max="6" width="9.5546875" bestFit="1" customWidth="1"/>
    <col min="7" max="8" width="12" bestFit="1" customWidth="1"/>
  </cols>
  <sheetData>
    <row r="1" spans="1:9" s="1" customFormat="1" x14ac:dyDescent="0.3">
      <c r="A1" s="1" t="s">
        <v>23</v>
      </c>
    </row>
    <row r="3" spans="1:9" x14ac:dyDescent="0.3">
      <c r="A3" s="1" t="s">
        <v>24</v>
      </c>
      <c r="B3" s="1"/>
      <c r="C3" s="1"/>
      <c r="D3" s="1"/>
      <c r="E3" s="1"/>
      <c r="F3" s="1"/>
      <c r="G3" s="1"/>
      <c r="H3" s="1"/>
      <c r="I3" s="1"/>
    </row>
    <row r="5" spans="1:9" x14ac:dyDescent="0.3">
      <c r="A5" t="s">
        <v>25</v>
      </c>
    </row>
    <row r="7" spans="1:9" x14ac:dyDescent="0.3">
      <c r="A7" s="3" t="s">
        <v>7</v>
      </c>
    </row>
    <row r="8" spans="1:9" x14ac:dyDescent="0.3">
      <c r="A8" s="2">
        <v>120</v>
      </c>
      <c r="C8" s="3" t="s">
        <v>13</v>
      </c>
      <c r="D8" s="2">
        <f>AVERAGE(A8:A19)</f>
        <v>132.5</v>
      </c>
    </row>
    <row r="9" spans="1:9" x14ac:dyDescent="0.3">
      <c r="A9" s="2">
        <v>150</v>
      </c>
      <c r="C9" s="3" t="s">
        <v>26</v>
      </c>
      <c r="D9" s="2">
        <f>MAX(A8:A19) - MIN(A8:A19)</f>
        <v>45</v>
      </c>
    </row>
    <row r="10" spans="1:9" x14ac:dyDescent="0.3">
      <c r="A10" s="2">
        <v>110</v>
      </c>
      <c r="C10" s="1"/>
    </row>
    <row r="11" spans="1:9" x14ac:dyDescent="0.3">
      <c r="A11" s="2">
        <v>135</v>
      </c>
    </row>
    <row r="12" spans="1:9" x14ac:dyDescent="0.3">
      <c r="A12" s="2">
        <v>125</v>
      </c>
    </row>
    <row r="13" spans="1:9" x14ac:dyDescent="0.3">
      <c r="A13" s="2">
        <v>140</v>
      </c>
    </row>
    <row r="14" spans="1:9" x14ac:dyDescent="0.3">
      <c r="A14" s="2">
        <v>130</v>
      </c>
    </row>
    <row r="15" spans="1:9" x14ac:dyDescent="0.3">
      <c r="A15" s="2">
        <v>155</v>
      </c>
    </row>
    <row r="16" spans="1:9" x14ac:dyDescent="0.3">
      <c r="A16" s="2">
        <v>115</v>
      </c>
    </row>
    <row r="17" spans="1:14" x14ac:dyDescent="0.3">
      <c r="A17" s="2">
        <v>145</v>
      </c>
    </row>
    <row r="18" spans="1:14" x14ac:dyDescent="0.3">
      <c r="A18" s="2">
        <v>135</v>
      </c>
    </row>
    <row r="19" spans="1:14" x14ac:dyDescent="0.3">
      <c r="A19" s="2">
        <v>130</v>
      </c>
    </row>
    <row r="21" spans="1:14" x14ac:dyDescent="0.3">
      <c r="A21" s="1" t="s">
        <v>27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3" spans="1:14" x14ac:dyDescent="0.3">
      <c r="A23" s="1" t="s">
        <v>28</v>
      </c>
      <c r="B23" s="1"/>
      <c r="C23" s="1"/>
      <c r="D23" s="1"/>
      <c r="E23" s="1"/>
      <c r="F23" s="1"/>
    </row>
    <row r="25" spans="1:14" x14ac:dyDescent="0.3">
      <c r="A25" t="s">
        <v>29</v>
      </c>
      <c r="D25" s="3" t="s">
        <v>7</v>
      </c>
      <c r="F25" s="3" t="s">
        <v>13</v>
      </c>
      <c r="G25" s="2">
        <f>AVERAGE(D26:D75)</f>
        <v>7.5</v>
      </c>
    </row>
    <row r="26" spans="1:14" x14ac:dyDescent="0.3">
      <c r="A26" t="s">
        <v>30</v>
      </c>
      <c r="D26" s="2">
        <v>8</v>
      </c>
      <c r="F26" s="3" t="s">
        <v>34</v>
      </c>
      <c r="G26" s="2">
        <f>_xlfn.STDEV.S(D26:D75)</f>
        <v>1.0350983390135313</v>
      </c>
    </row>
    <row r="27" spans="1:14" x14ac:dyDescent="0.3">
      <c r="A27" t="s">
        <v>31</v>
      </c>
      <c r="D27" s="2">
        <v>7</v>
      </c>
    </row>
    <row r="28" spans="1:14" x14ac:dyDescent="0.3">
      <c r="A28" t="s">
        <v>32</v>
      </c>
      <c r="D28" s="2">
        <v>9</v>
      </c>
    </row>
    <row r="29" spans="1:14" x14ac:dyDescent="0.3">
      <c r="A29" t="s">
        <v>33</v>
      </c>
      <c r="D29" s="2">
        <v>6</v>
      </c>
    </row>
    <row r="30" spans="1:14" x14ac:dyDescent="0.3">
      <c r="D30" s="2">
        <v>7</v>
      </c>
    </row>
    <row r="31" spans="1:14" x14ac:dyDescent="0.3">
      <c r="D31" s="2">
        <v>8</v>
      </c>
    </row>
    <row r="32" spans="1:14" x14ac:dyDescent="0.3">
      <c r="D32" s="2">
        <v>9</v>
      </c>
    </row>
    <row r="33" spans="4:4" x14ac:dyDescent="0.3">
      <c r="D33" s="2">
        <v>8</v>
      </c>
    </row>
    <row r="34" spans="4:4" x14ac:dyDescent="0.3">
      <c r="D34" s="2">
        <v>7</v>
      </c>
    </row>
    <row r="35" spans="4:4" x14ac:dyDescent="0.3">
      <c r="D35" s="2">
        <v>6</v>
      </c>
    </row>
    <row r="36" spans="4:4" x14ac:dyDescent="0.3">
      <c r="D36" s="2">
        <v>8</v>
      </c>
    </row>
    <row r="37" spans="4:4" x14ac:dyDescent="0.3">
      <c r="D37" s="2">
        <v>9</v>
      </c>
    </row>
    <row r="38" spans="4:4" x14ac:dyDescent="0.3">
      <c r="D38" s="2">
        <v>7</v>
      </c>
    </row>
    <row r="39" spans="4:4" x14ac:dyDescent="0.3">
      <c r="D39" s="2">
        <v>8</v>
      </c>
    </row>
    <row r="40" spans="4:4" x14ac:dyDescent="0.3">
      <c r="D40" s="2">
        <v>7</v>
      </c>
    </row>
    <row r="41" spans="4:4" x14ac:dyDescent="0.3">
      <c r="D41" s="2">
        <v>6</v>
      </c>
    </row>
    <row r="42" spans="4:4" x14ac:dyDescent="0.3">
      <c r="D42" s="2">
        <v>8</v>
      </c>
    </row>
    <row r="43" spans="4:4" x14ac:dyDescent="0.3">
      <c r="D43" s="2">
        <v>9</v>
      </c>
    </row>
    <row r="44" spans="4:4" x14ac:dyDescent="0.3">
      <c r="D44" s="2">
        <v>6</v>
      </c>
    </row>
    <row r="45" spans="4:4" x14ac:dyDescent="0.3">
      <c r="D45" s="2">
        <v>7</v>
      </c>
    </row>
    <row r="46" spans="4:4" x14ac:dyDescent="0.3">
      <c r="D46" s="2">
        <v>8</v>
      </c>
    </row>
    <row r="47" spans="4:4" x14ac:dyDescent="0.3">
      <c r="D47" s="2">
        <v>9</v>
      </c>
    </row>
    <row r="48" spans="4:4" x14ac:dyDescent="0.3">
      <c r="D48" s="2">
        <v>7</v>
      </c>
    </row>
    <row r="49" spans="4:4" x14ac:dyDescent="0.3">
      <c r="D49" s="2">
        <v>6</v>
      </c>
    </row>
    <row r="50" spans="4:4" x14ac:dyDescent="0.3">
      <c r="D50" s="2">
        <v>7</v>
      </c>
    </row>
    <row r="51" spans="4:4" x14ac:dyDescent="0.3">
      <c r="D51" s="2">
        <v>8</v>
      </c>
    </row>
    <row r="52" spans="4:4" x14ac:dyDescent="0.3">
      <c r="D52" s="2">
        <v>9</v>
      </c>
    </row>
    <row r="53" spans="4:4" x14ac:dyDescent="0.3">
      <c r="D53" s="2">
        <v>8</v>
      </c>
    </row>
    <row r="54" spans="4:4" x14ac:dyDescent="0.3">
      <c r="D54" s="2">
        <v>7</v>
      </c>
    </row>
    <row r="55" spans="4:4" x14ac:dyDescent="0.3">
      <c r="D55" s="2">
        <v>6</v>
      </c>
    </row>
    <row r="56" spans="4:4" x14ac:dyDescent="0.3">
      <c r="D56" s="2">
        <v>9</v>
      </c>
    </row>
    <row r="57" spans="4:4" x14ac:dyDescent="0.3">
      <c r="D57" s="2">
        <v>8</v>
      </c>
    </row>
    <row r="58" spans="4:4" x14ac:dyDescent="0.3">
      <c r="D58" s="2">
        <v>7</v>
      </c>
    </row>
    <row r="59" spans="4:4" x14ac:dyDescent="0.3">
      <c r="D59" s="2">
        <v>6</v>
      </c>
    </row>
    <row r="60" spans="4:4" x14ac:dyDescent="0.3">
      <c r="D60" s="2">
        <v>8</v>
      </c>
    </row>
    <row r="61" spans="4:4" x14ac:dyDescent="0.3">
      <c r="D61" s="2">
        <v>9</v>
      </c>
    </row>
    <row r="62" spans="4:4" x14ac:dyDescent="0.3">
      <c r="D62" s="2">
        <v>7</v>
      </c>
    </row>
    <row r="63" spans="4:4" x14ac:dyDescent="0.3">
      <c r="D63" s="2">
        <v>8</v>
      </c>
    </row>
    <row r="64" spans="4:4" x14ac:dyDescent="0.3">
      <c r="D64" s="2">
        <v>7</v>
      </c>
    </row>
    <row r="65" spans="1:13" x14ac:dyDescent="0.3">
      <c r="D65" s="2">
        <v>6</v>
      </c>
    </row>
    <row r="66" spans="1:13" x14ac:dyDescent="0.3">
      <c r="D66" s="2">
        <v>9</v>
      </c>
    </row>
    <row r="67" spans="1:13" x14ac:dyDescent="0.3">
      <c r="D67" s="2">
        <v>8</v>
      </c>
    </row>
    <row r="68" spans="1:13" x14ac:dyDescent="0.3">
      <c r="D68" s="2">
        <v>7</v>
      </c>
    </row>
    <row r="69" spans="1:13" x14ac:dyDescent="0.3">
      <c r="D69" s="2">
        <v>6</v>
      </c>
    </row>
    <row r="70" spans="1:13" x14ac:dyDescent="0.3">
      <c r="D70" s="2">
        <v>7</v>
      </c>
    </row>
    <row r="71" spans="1:13" x14ac:dyDescent="0.3">
      <c r="D71" s="2">
        <v>8</v>
      </c>
    </row>
    <row r="72" spans="1:13" x14ac:dyDescent="0.3">
      <c r="D72" s="2">
        <v>9</v>
      </c>
    </row>
    <row r="73" spans="1:13" x14ac:dyDescent="0.3">
      <c r="D73" s="2">
        <v>8</v>
      </c>
    </row>
    <row r="74" spans="1:13" x14ac:dyDescent="0.3">
      <c r="D74" s="2">
        <v>7</v>
      </c>
    </row>
    <row r="75" spans="1:13" x14ac:dyDescent="0.3">
      <c r="D75" s="2">
        <v>6</v>
      </c>
    </row>
    <row r="77" spans="1:13" x14ac:dyDescent="0.3">
      <c r="A77" s="1" t="s">
        <v>35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9" spans="1:13" x14ac:dyDescent="0.3">
      <c r="A79" s="1" t="s">
        <v>36</v>
      </c>
      <c r="B79" s="1"/>
      <c r="C79" s="1"/>
      <c r="D79" s="1"/>
      <c r="E79" s="1"/>
      <c r="F79" s="1"/>
      <c r="G79" s="1"/>
      <c r="H79" s="1"/>
      <c r="I79" s="1"/>
      <c r="J79" s="1"/>
    </row>
    <row r="81" spans="1:8" x14ac:dyDescent="0.3">
      <c r="A81" t="s">
        <v>37</v>
      </c>
      <c r="E81" s="1" t="s">
        <v>7</v>
      </c>
    </row>
    <row r="82" spans="1:8" x14ac:dyDescent="0.3">
      <c r="A82" t="s">
        <v>38</v>
      </c>
      <c r="E82">
        <v>10</v>
      </c>
      <c r="G82" s="3" t="s">
        <v>13</v>
      </c>
      <c r="H82" s="2">
        <f>AVERAGE(E82:E181)</f>
        <v>16.739999999999998</v>
      </c>
    </row>
    <row r="83" spans="1:8" x14ac:dyDescent="0.3">
      <c r="A83" t="s">
        <v>39</v>
      </c>
      <c r="E83">
        <v>15</v>
      </c>
      <c r="G83" s="3" t="s">
        <v>26</v>
      </c>
      <c r="H83" s="2">
        <f>MAX(E82:E181) - MIN(E82:E181)</f>
        <v>19</v>
      </c>
    </row>
    <row r="84" spans="1:8" x14ac:dyDescent="0.3">
      <c r="A84" t="s">
        <v>40</v>
      </c>
      <c r="E84">
        <v>12</v>
      </c>
      <c r="G84" s="3" t="s">
        <v>47</v>
      </c>
      <c r="H84" s="2">
        <f>_xlfn.STDEV.S(E82:E181)</f>
        <v>4.1429506881014673</v>
      </c>
    </row>
    <row r="85" spans="1:8" x14ac:dyDescent="0.3">
      <c r="A85" t="s">
        <v>41</v>
      </c>
      <c r="E85">
        <v>18</v>
      </c>
    </row>
    <row r="86" spans="1:8" x14ac:dyDescent="0.3">
      <c r="A86" t="s">
        <v>42</v>
      </c>
      <c r="E86">
        <v>20</v>
      </c>
    </row>
    <row r="87" spans="1:8" x14ac:dyDescent="0.3">
      <c r="A87" t="s">
        <v>43</v>
      </c>
      <c r="E87">
        <v>25</v>
      </c>
    </row>
    <row r="88" spans="1:8" x14ac:dyDescent="0.3">
      <c r="A88" t="s">
        <v>44</v>
      </c>
      <c r="E88">
        <v>8</v>
      </c>
    </row>
    <row r="89" spans="1:8" x14ac:dyDescent="0.3">
      <c r="A89" t="s">
        <v>45</v>
      </c>
      <c r="E89">
        <v>14</v>
      </c>
    </row>
    <row r="90" spans="1:8" x14ac:dyDescent="0.3">
      <c r="A90" t="s">
        <v>46</v>
      </c>
      <c r="E90">
        <v>16</v>
      </c>
    </row>
    <row r="91" spans="1:8" x14ac:dyDescent="0.3">
      <c r="E91">
        <v>22</v>
      </c>
    </row>
    <row r="92" spans="1:8" x14ac:dyDescent="0.3">
      <c r="E92">
        <v>9</v>
      </c>
    </row>
    <row r="93" spans="1:8" x14ac:dyDescent="0.3">
      <c r="E93">
        <v>17</v>
      </c>
    </row>
    <row r="94" spans="1:8" x14ac:dyDescent="0.3">
      <c r="E94">
        <v>11</v>
      </c>
    </row>
    <row r="95" spans="1:8" x14ac:dyDescent="0.3">
      <c r="E95">
        <v>13</v>
      </c>
    </row>
    <row r="96" spans="1:8" x14ac:dyDescent="0.3">
      <c r="E96">
        <v>19</v>
      </c>
    </row>
    <row r="97" spans="5:5" x14ac:dyDescent="0.3">
      <c r="E97">
        <v>23</v>
      </c>
    </row>
    <row r="98" spans="5:5" x14ac:dyDescent="0.3">
      <c r="E98">
        <v>21</v>
      </c>
    </row>
    <row r="99" spans="5:5" x14ac:dyDescent="0.3">
      <c r="E99">
        <v>16</v>
      </c>
    </row>
    <row r="100" spans="5:5" x14ac:dyDescent="0.3">
      <c r="E100">
        <v>24</v>
      </c>
    </row>
    <row r="101" spans="5:5" x14ac:dyDescent="0.3">
      <c r="E101">
        <v>27</v>
      </c>
    </row>
    <row r="102" spans="5:5" x14ac:dyDescent="0.3">
      <c r="E102">
        <v>13</v>
      </c>
    </row>
    <row r="103" spans="5:5" x14ac:dyDescent="0.3">
      <c r="E103">
        <v>10</v>
      </c>
    </row>
    <row r="104" spans="5:5" x14ac:dyDescent="0.3">
      <c r="E104">
        <v>18</v>
      </c>
    </row>
    <row r="105" spans="5:5" x14ac:dyDescent="0.3">
      <c r="E105">
        <v>16</v>
      </c>
    </row>
    <row r="106" spans="5:5" x14ac:dyDescent="0.3">
      <c r="E106">
        <v>12</v>
      </c>
    </row>
    <row r="107" spans="5:5" x14ac:dyDescent="0.3">
      <c r="E107">
        <v>14</v>
      </c>
    </row>
    <row r="108" spans="5:5" x14ac:dyDescent="0.3">
      <c r="E108">
        <v>19</v>
      </c>
    </row>
    <row r="109" spans="5:5" x14ac:dyDescent="0.3">
      <c r="E109">
        <v>21</v>
      </c>
    </row>
    <row r="110" spans="5:5" x14ac:dyDescent="0.3">
      <c r="E110">
        <v>11</v>
      </c>
    </row>
    <row r="111" spans="5:5" x14ac:dyDescent="0.3">
      <c r="E111">
        <v>17</v>
      </c>
    </row>
    <row r="112" spans="5:5" x14ac:dyDescent="0.3">
      <c r="E112">
        <v>15</v>
      </c>
    </row>
    <row r="113" spans="5:5" x14ac:dyDescent="0.3">
      <c r="E113">
        <v>20</v>
      </c>
    </row>
    <row r="114" spans="5:5" x14ac:dyDescent="0.3">
      <c r="E114">
        <v>26</v>
      </c>
    </row>
    <row r="115" spans="5:5" x14ac:dyDescent="0.3">
      <c r="E115">
        <v>13</v>
      </c>
    </row>
    <row r="116" spans="5:5" x14ac:dyDescent="0.3">
      <c r="E116">
        <v>12</v>
      </c>
    </row>
    <row r="117" spans="5:5" x14ac:dyDescent="0.3">
      <c r="E117">
        <v>14</v>
      </c>
    </row>
    <row r="118" spans="5:5" x14ac:dyDescent="0.3">
      <c r="E118">
        <v>22</v>
      </c>
    </row>
    <row r="119" spans="5:5" x14ac:dyDescent="0.3">
      <c r="E119">
        <v>19</v>
      </c>
    </row>
    <row r="120" spans="5:5" x14ac:dyDescent="0.3">
      <c r="E120">
        <v>16</v>
      </c>
    </row>
    <row r="121" spans="5:5" x14ac:dyDescent="0.3">
      <c r="E121">
        <v>11</v>
      </c>
    </row>
    <row r="122" spans="5:5" x14ac:dyDescent="0.3">
      <c r="E122">
        <v>25</v>
      </c>
    </row>
    <row r="123" spans="5:5" x14ac:dyDescent="0.3">
      <c r="E123">
        <v>18</v>
      </c>
    </row>
    <row r="124" spans="5:5" x14ac:dyDescent="0.3">
      <c r="E124">
        <v>16</v>
      </c>
    </row>
    <row r="125" spans="5:5" x14ac:dyDescent="0.3">
      <c r="E125">
        <v>13</v>
      </c>
    </row>
    <row r="126" spans="5:5" x14ac:dyDescent="0.3">
      <c r="E126">
        <v>21</v>
      </c>
    </row>
    <row r="127" spans="5:5" x14ac:dyDescent="0.3">
      <c r="E127">
        <v>20</v>
      </c>
    </row>
    <row r="128" spans="5:5" x14ac:dyDescent="0.3">
      <c r="E128">
        <v>15</v>
      </c>
    </row>
    <row r="129" spans="5:5" x14ac:dyDescent="0.3">
      <c r="E129">
        <v>12</v>
      </c>
    </row>
    <row r="130" spans="5:5" x14ac:dyDescent="0.3">
      <c r="E130">
        <v>19</v>
      </c>
    </row>
    <row r="131" spans="5:5" x14ac:dyDescent="0.3">
      <c r="E131">
        <v>17</v>
      </c>
    </row>
    <row r="132" spans="5:5" x14ac:dyDescent="0.3">
      <c r="E132">
        <v>14</v>
      </c>
    </row>
    <row r="133" spans="5:5" x14ac:dyDescent="0.3">
      <c r="E133">
        <v>16</v>
      </c>
    </row>
    <row r="134" spans="5:5" x14ac:dyDescent="0.3">
      <c r="E134">
        <v>23</v>
      </c>
    </row>
    <row r="135" spans="5:5" x14ac:dyDescent="0.3">
      <c r="E135">
        <v>18</v>
      </c>
    </row>
    <row r="136" spans="5:5" x14ac:dyDescent="0.3">
      <c r="E136">
        <v>15</v>
      </c>
    </row>
    <row r="137" spans="5:5" x14ac:dyDescent="0.3">
      <c r="E137">
        <v>11</v>
      </c>
    </row>
    <row r="138" spans="5:5" x14ac:dyDescent="0.3">
      <c r="E138">
        <v>19</v>
      </c>
    </row>
    <row r="139" spans="5:5" x14ac:dyDescent="0.3">
      <c r="E139">
        <v>22</v>
      </c>
    </row>
    <row r="140" spans="5:5" x14ac:dyDescent="0.3">
      <c r="E140">
        <v>17</v>
      </c>
    </row>
    <row r="141" spans="5:5" x14ac:dyDescent="0.3">
      <c r="E141">
        <v>12</v>
      </c>
    </row>
    <row r="142" spans="5:5" x14ac:dyDescent="0.3">
      <c r="E142">
        <v>16</v>
      </c>
    </row>
    <row r="143" spans="5:5" x14ac:dyDescent="0.3">
      <c r="E143">
        <v>14</v>
      </c>
    </row>
    <row r="144" spans="5:5" x14ac:dyDescent="0.3">
      <c r="E144">
        <v>18</v>
      </c>
    </row>
    <row r="145" spans="5:5" x14ac:dyDescent="0.3">
      <c r="E145">
        <v>20</v>
      </c>
    </row>
    <row r="146" spans="5:5" x14ac:dyDescent="0.3">
      <c r="E146">
        <v>25</v>
      </c>
    </row>
    <row r="147" spans="5:5" x14ac:dyDescent="0.3">
      <c r="E147">
        <v>13</v>
      </c>
    </row>
    <row r="148" spans="5:5" x14ac:dyDescent="0.3">
      <c r="E148">
        <v>11</v>
      </c>
    </row>
    <row r="149" spans="5:5" x14ac:dyDescent="0.3">
      <c r="E149">
        <v>22</v>
      </c>
    </row>
    <row r="150" spans="5:5" x14ac:dyDescent="0.3">
      <c r="E150">
        <v>19</v>
      </c>
    </row>
    <row r="151" spans="5:5" x14ac:dyDescent="0.3">
      <c r="E151">
        <v>17</v>
      </c>
    </row>
    <row r="152" spans="5:5" x14ac:dyDescent="0.3">
      <c r="E152">
        <v>15</v>
      </c>
    </row>
    <row r="153" spans="5:5" x14ac:dyDescent="0.3">
      <c r="E153">
        <v>16</v>
      </c>
    </row>
    <row r="154" spans="5:5" x14ac:dyDescent="0.3">
      <c r="E154">
        <v>13</v>
      </c>
    </row>
    <row r="155" spans="5:5" x14ac:dyDescent="0.3">
      <c r="E155">
        <v>14</v>
      </c>
    </row>
    <row r="156" spans="5:5" x14ac:dyDescent="0.3">
      <c r="E156">
        <v>18</v>
      </c>
    </row>
    <row r="157" spans="5:5" x14ac:dyDescent="0.3">
      <c r="E157">
        <v>20</v>
      </c>
    </row>
    <row r="158" spans="5:5" x14ac:dyDescent="0.3">
      <c r="E158">
        <v>19</v>
      </c>
    </row>
    <row r="159" spans="5:5" x14ac:dyDescent="0.3">
      <c r="E159">
        <v>21</v>
      </c>
    </row>
    <row r="160" spans="5:5" x14ac:dyDescent="0.3">
      <c r="E160">
        <v>17</v>
      </c>
    </row>
    <row r="161" spans="5:5" x14ac:dyDescent="0.3">
      <c r="E161">
        <v>12</v>
      </c>
    </row>
    <row r="162" spans="5:5" x14ac:dyDescent="0.3">
      <c r="E162">
        <v>15</v>
      </c>
    </row>
    <row r="163" spans="5:5" x14ac:dyDescent="0.3">
      <c r="E163">
        <v>13</v>
      </c>
    </row>
    <row r="164" spans="5:5" x14ac:dyDescent="0.3">
      <c r="E164">
        <v>16</v>
      </c>
    </row>
    <row r="165" spans="5:5" x14ac:dyDescent="0.3">
      <c r="E165">
        <v>14</v>
      </c>
    </row>
    <row r="166" spans="5:5" x14ac:dyDescent="0.3">
      <c r="E166">
        <v>22</v>
      </c>
    </row>
    <row r="167" spans="5:5" x14ac:dyDescent="0.3">
      <c r="E167">
        <v>21</v>
      </c>
    </row>
    <row r="168" spans="5:5" x14ac:dyDescent="0.3">
      <c r="E168">
        <v>19</v>
      </c>
    </row>
    <row r="169" spans="5:5" x14ac:dyDescent="0.3">
      <c r="E169">
        <v>18</v>
      </c>
    </row>
    <row r="170" spans="5:5" x14ac:dyDescent="0.3">
      <c r="E170">
        <v>16</v>
      </c>
    </row>
    <row r="171" spans="5:5" x14ac:dyDescent="0.3">
      <c r="E171">
        <v>11</v>
      </c>
    </row>
    <row r="172" spans="5:5" x14ac:dyDescent="0.3">
      <c r="E172">
        <v>17</v>
      </c>
    </row>
    <row r="173" spans="5:5" x14ac:dyDescent="0.3">
      <c r="E173">
        <v>14</v>
      </c>
    </row>
    <row r="174" spans="5:5" x14ac:dyDescent="0.3">
      <c r="E174">
        <v>12</v>
      </c>
    </row>
    <row r="175" spans="5:5" x14ac:dyDescent="0.3">
      <c r="E175">
        <v>20</v>
      </c>
    </row>
    <row r="176" spans="5:5" x14ac:dyDescent="0.3">
      <c r="E176">
        <v>23</v>
      </c>
    </row>
    <row r="177" spans="1:14" x14ac:dyDescent="0.3">
      <c r="E177">
        <v>19</v>
      </c>
    </row>
    <row r="178" spans="1:14" x14ac:dyDescent="0.3">
      <c r="E178">
        <v>15</v>
      </c>
    </row>
    <row r="179" spans="1:14" x14ac:dyDescent="0.3">
      <c r="E179">
        <v>16</v>
      </c>
    </row>
    <row r="180" spans="1:14" x14ac:dyDescent="0.3">
      <c r="E180">
        <v>13</v>
      </c>
    </row>
    <row r="181" spans="1:14" x14ac:dyDescent="0.3">
      <c r="E181">
        <v>18</v>
      </c>
    </row>
    <row r="183" spans="1:14" x14ac:dyDescent="0.3">
      <c r="A183" s="1" t="s">
        <v>48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5" spans="1:14" x14ac:dyDescent="0.3">
      <c r="A185" s="1" t="s">
        <v>49</v>
      </c>
      <c r="B185" s="1"/>
      <c r="C185" s="1"/>
      <c r="D185" s="1"/>
      <c r="E185" s="1"/>
      <c r="F185" s="1"/>
      <c r="G185" s="1"/>
      <c r="H185" s="1"/>
    </row>
    <row r="187" spans="1:14" x14ac:dyDescent="0.3">
      <c r="A187" t="s">
        <v>50</v>
      </c>
    </row>
    <row r="188" spans="1:14" x14ac:dyDescent="0.3">
      <c r="A188" t="s">
        <v>51</v>
      </c>
    </row>
    <row r="189" spans="1:14" x14ac:dyDescent="0.3">
      <c r="A189" t="s">
        <v>52</v>
      </c>
    </row>
    <row r="190" spans="1:14" x14ac:dyDescent="0.3">
      <c r="A190" t="s">
        <v>53</v>
      </c>
    </row>
    <row r="191" spans="1:14" x14ac:dyDescent="0.3">
      <c r="A191" t="s">
        <v>54</v>
      </c>
    </row>
    <row r="193" spans="1:10" x14ac:dyDescent="0.3">
      <c r="A193" s="3" t="s">
        <v>55</v>
      </c>
      <c r="B193" s="3" t="s">
        <v>56</v>
      </c>
      <c r="C193" s="3" t="s">
        <v>57</v>
      </c>
      <c r="D193" s="3" t="s">
        <v>58</v>
      </c>
      <c r="E193" s="3" t="s">
        <v>59</v>
      </c>
      <c r="G193" s="3" t="s">
        <v>60</v>
      </c>
      <c r="H193" s="3" t="s">
        <v>61</v>
      </c>
      <c r="I193" s="3" t="s">
        <v>62</v>
      </c>
      <c r="J193" s="3" t="s">
        <v>63</v>
      </c>
    </row>
    <row r="194" spans="1:10" x14ac:dyDescent="0.3">
      <c r="A194" s="2">
        <v>30</v>
      </c>
      <c r="B194" s="2">
        <v>25</v>
      </c>
      <c r="C194" s="2">
        <v>22</v>
      </c>
      <c r="D194" s="2">
        <v>18</v>
      </c>
      <c r="E194" s="2">
        <v>35</v>
      </c>
      <c r="G194" s="2" t="s">
        <v>64</v>
      </c>
      <c r="H194" s="2">
        <f>AVERAGE(A194:A203)</f>
        <v>30.6</v>
      </c>
      <c r="I194" s="2">
        <f>MAX(A194:A203) - MIN(A194:A203)</f>
        <v>5</v>
      </c>
      <c r="J194" s="4">
        <f>_xlfn.VAR.S(A194:A203)</f>
        <v>2.2666666666666675</v>
      </c>
    </row>
    <row r="195" spans="1:10" x14ac:dyDescent="0.3">
      <c r="A195" s="2">
        <v>32</v>
      </c>
      <c r="B195" s="2">
        <v>27</v>
      </c>
      <c r="C195" s="2">
        <v>23</v>
      </c>
      <c r="D195" s="2">
        <v>17</v>
      </c>
      <c r="E195" s="2">
        <v>36</v>
      </c>
      <c r="G195" s="2" t="s">
        <v>65</v>
      </c>
      <c r="H195" s="2">
        <f>AVERAGE(B194:B203)</f>
        <v>25.9</v>
      </c>
      <c r="I195" s="2">
        <f>MAX(B194:B203) - MIN(B194:B203)</f>
        <v>5</v>
      </c>
      <c r="J195" s="4">
        <f>_xlfn.VAR.S(B194:B203)</f>
        <v>2.7666666666666675</v>
      </c>
    </row>
    <row r="196" spans="1:10" x14ac:dyDescent="0.3">
      <c r="A196" s="2">
        <v>33</v>
      </c>
      <c r="B196" s="2">
        <v>26</v>
      </c>
      <c r="C196" s="2">
        <v>20</v>
      </c>
      <c r="D196" s="2">
        <v>19</v>
      </c>
      <c r="E196" s="2">
        <v>34</v>
      </c>
      <c r="G196" s="2" t="s">
        <v>66</v>
      </c>
      <c r="H196" s="2">
        <f>AVERAGE(C194:C203)</f>
        <v>22.9</v>
      </c>
      <c r="I196" s="2">
        <f>MAX(C194:C203) - MIN(C194:C203)</f>
        <v>5</v>
      </c>
      <c r="J196" s="4">
        <f>_xlfn.VAR.S(C194:C203)</f>
        <v>2.7666666666666675</v>
      </c>
    </row>
    <row r="197" spans="1:10" x14ac:dyDescent="0.3">
      <c r="A197" s="2">
        <v>28</v>
      </c>
      <c r="B197" s="2">
        <v>23</v>
      </c>
      <c r="C197" s="2">
        <v>25</v>
      </c>
      <c r="D197" s="2">
        <v>20</v>
      </c>
      <c r="E197" s="2">
        <v>35</v>
      </c>
      <c r="G197" s="2" t="s">
        <v>67</v>
      </c>
      <c r="H197" s="2">
        <f>AVERAGE(D194:D203)</f>
        <v>18.8</v>
      </c>
      <c r="I197" s="2">
        <f>MAX(D194:D203) - MIN(D194:D203)</f>
        <v>4</v>
      </c>
      <c r="J197" s="4">
        <f>_xlfn.VAR.S(D194:D203)</f>
        <v>1.7333333333333332</v>
      </c>
    </row>
    <row r="198" spans="1:10" x14ac:dyDescent="0.3">
      <c r="A198" s="2">
        <v>31</v>
      </c>
      <c r="B198" s="2">
        <v>28</v>
      </c>
      <c r="C198" s="2">
        <v>21</v>
      </c>
      <c r="D198" s="2">
        <v>21</v>
      </c>
      <c r="E198" s="2">
        <v>33</v>
      </c>
      <c r="G198" s="2" t="s">
        <v>68</v>
      </c>
      <c r="H198" s="2">
        <f>AVERAGE(E194:E203)</f>
        <v>34.200000000000003</v>
      </c>
      <c r="I198" s="2">
        <f>MAX(E194:E203) - MIN(E194:E203)</f>
        <v>4</v>
      </c>
      <c r="J198" s="4">
        <f>_xlfn.VAR.S(E194:E203)</f>
        <v>1.7333333333333332</v>
      </c>
    </row>
    <row r="199" spans="1:10" x14ac:dyDescent="0.3">
      <c r="A199" s="2">
        <v>30</v>
      </c>
      <c r="B199" s="2">
        <v>24</v>
      </c>
      <c r="C199" s="2">
        <v>24</v>
      </c>
      <c r="D199" s="2">
        <v>18</v>
      </c>
      <c r="E199" s="2">
        <v>34</v>
      </c>
    </row>
    <row r="200" spans="1:10" x14ac:dyDescent="0.3">
      <c r="A200" s="2">
        <v>29</v>
      </c>
      <c r="B200" s="2">
        <v>26</v>
      </c>
      <c r="C200" s="2">
        <v>23</v>
      </c>
      <c r="D200" s="2">
        <v>19</v>
      </c>
      <c r="E200" s="2">
        <v>32</v>
      </c>
    </row>
    <row r="201" spans="1:10" x14ac:dyDescent="0.3">
      <c r="A201" s="2">
        <v>30</v>
      </c>
      <c r="B201" s="2">
        <v>25</v>
      </c>
      <c r="C201" s="2">
        <v>22</v>
      </c>
      <c r="D201" s="2">
        <v>17</v>
      </c>
      <c r="E201" s="2">
        <v>33</v>
      </c>
    </row>
    <row r="202" spans="1:10" x14ac:dyDescent="0.3">
      <c r="A202" s="2">
        <v>32</v>
      </c>
      <c r="B202" s="2">
        <v>27</v>
      </c>
      <c r="C202" s="2">
        <v>25</v>
      </c>
      <c r="D202" s="2">
        <v>20</v>
      </c>
      <c r="E202" s="2">
        <v>36</v>
      </c>
    </row>
    <row r="203" spans="1:10" x14ac:dyDescent="0.3">
      <c r="A203" s="2">
        <v>31</v>
      </c>
      <c r="B203" s="2">
        <v>28</v>
      </c>
      <c r="C203" s="2">
        <v>24</v>
      </c>
      <c r="D203" s="2">
        <v>19</v>
      </c>
      <c r="E203" s="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E7A5-32AC-4EEC-B8AE-52FC1C94FCBA}">
  <dimension ref="A1:N178"/>
  <sheetViews>
    <sheetView workbookViewId="0">
      <selection activeCell="J27" sqref="J27"/>
    </sheetView>
  </sheetViews>
  <sheetFormatPr defaultRowHeight="14.4" x14ac:dyDescent="0.3"/>
  <cols>
    <col min="5" max="5" width="9.44140625" bestFit="1" customWidth="1"/>
    <col min="6" max="6" width="10.77734375" bestFit="1" customWidth="1"/>
    <col min="7" max="7" width="9.6640625" bestFit="1" customWidth="1"/>
  </cols>
  <sheetData>
    <row r="1" spans="1:14" x14ac:dyDescent="0.3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3">
      <c r="A3" s="1" t="s">
        <v>70</v>
      </c>
      <c r="B3" s="1"/>
      <c r="C3" s="1"/>
      <c r="D3" s="1"/>
      <c r="E3" s="1"/>
    </row>
    <row r="5" spans="1:14" x14ac:dyDescent="0.3">
      <c r="A5" t="s">
        <v>71</v>
      </c>
      <c r="E5" s="2">
        <v>28</v>
      </c>
      <c r="F5" s="2">
        <v>32</v>
      </c>
      <c r="G5" s="2">
        <v>35</v>
      </c>
      <c r="H5" s="2">
        <v>40</v>
      </c>
      <c r="I5" s="2">
        <v>42</v>
      </c>
      <c r="J5" s="2">
        <v>28</v>
      </c>
      <c r="K5" s="2">
        <v>33</v>
      </c>
      <c r="L5" s="2">
        <v>38</v>
      </c>
      <c r="M5" s="2">
        <v>30</v>
      </c>
      <c r="N5" s="2">
        <v>41</v>
      </c>
    </row>
    <row r="6" spans="1:14" x14ac:dyDescent="0.3">
      <c r="A6" t="s">
        <v>72</v>
      </c>
      <c r="E6" s="2">
        <v>37</v>
      </c>
      <c r="F6" s="2">
        <v>31</v>
      </c>
      <c r="G6" s="2">
        <v>34</v>
      </c>
      <c r="H6" s="2">
        <v>29</v>
      </c>
      <c r="I6" s="2">
        <v>36</v>
      </c>
      <c r="J6" s="2">
        <v>43</v>
      </c>
      <c r="K6" s="2">
        <v>39</v>
      </c>
      <c r="L6" s="2">
        <v>27</v>
      </c>
      <c r="M6" s="2">
        <v>35</v>
      </c>
      <c r="N6" s="2">
        <v>31</v>
      </c>
    </row>
    <row r="7" spans="1:14" x14ac:dyDescent="0.3">
      <c r="A7" t="s">
        <v>73</v>
      </c>
      <c r="E7" s="2">
        <v>39</v>
      </c>
      <c r="F7" s="2">
        <v>45</v>
      </c>
      <c r="G7" s="2">
        <v>29</v>
      </c>
      <c r="H7" s="2">
        <v>33</v>
      </c>
      <c r="I7" s="2">
        <v>37</v>
      </c>
      <c r="J7" s="2">
        <v>40</v>
      </c>
      <c r="K7" s="2">
        <v>36</v>
      </c>
      <c r="L7" s="2">
        <v>29</v>
      </c>
      <c r="M7" s="2">
        <v>31</v>
      </c>
      <c r="N7" s="2">
        <v>38</v>
      </c>
    </row>
    <row r="8" spans="1:14" x14ac:dyDescent="0.3">
      <c r="A8" t="s">
        <v>74</v>
      </c>
      <c r="E8" s="2">
        <v>35</v>
      </c>
      <c r="F8" s="2">
        <v>44</v>
      </c>
      <c r="G8" s="2">
        <v>32</v>
      </c>
      <c r="H8" s="2">
        <v>39</v>
      </c>
      <c r="I8" s="2">
        <v>36</v>
      </c>
      <c r="J8" s="2">
        <v>30</v>
      </c>
      <c r="K8" s="2">
        <v>33</v>
      </c>
      <c r="L8" s="2">
        <v>28</v>
      </c>
      <c r="M8" s="2">
        <v>41</v>
      </c>
      <c r="N8" s="2">
        <v>35</v>
      </c>
    </row>
    <row r="9" spans="1:14" x14ac:dyDescent="0.3">
      <c r="A9" t="s">
        <v>75</v>
      </c>
      <c r="E9" s="2">
        <v>31</v>
      </c>
      <c r="F9" s="2">
        <v>37</v>
      </c>
      <c r="G9" s="2">
        <v>42</v>
      </c>
      <c r="H9" s="2">
        <v>29</v>
      </c>
      <c r="I9" s="2">
        <v>34</v>
      </c>
      <c r="J9" s="2">
        <v>40</v>
      </c>
      <c r="K9" s="2">
        <v>31</v>
      </c>
      <c r="L9" s="2">
        <v>33</v>
      </c>
      <c r="M9" s="2">
        <v>38</v>
      </c>
      <c r="N9" s="2">
        <v>36</v>
      </c>
    </row>
    <row r="10" spans="1:14" x14ac:dyDescent="0.3">
      <c r="A10" t="s">
        <v>76</v>
      </c>
      <c r="E10" s="2">
        <v>39</v>
      </c>
      <c r="F10" s="2">
        <v>27</v>
      </c>
      <c r="G10" s="2">
        <v>35</v>
      </c>
      <c r="H10" s="2">
        <v>30</v>
      </c>
      <c r="I10" s="2">
        <v>43</v>
      </c>
      <c r="J10" s="2">
        <v>29</v>
      </c>
      <c r="K10" s="2">
        <v>32</v>
      </c>
      <c r="L10" s="2">
        <v>36</v>
      </c>
      <c r="M10" s="2">
        <v>31</v>
      </c>
      <c r="N10" s="2">
        <v>40</v>
      </c>
    </row>
    <row r="11" spans="1:14" x14ac:dyDescent="0.3">
      <c r="A11" t="s">
        <v>77</v>
      </c>
      <c r="E11" s="2">
        <v>38</v>
      </c>
      <c r="F11" s="2">
        <v>44</v>
      </c>
      <c r="G11" s="2">
        <v>37</v>
      </c>
      <c r="H11" s="2">
        <v>33</v>
      </c>
      <c r="I11" s="2">
        <v>35</v>
      </c>
      <c r="J11" s="2">
        <v>41</v>
      </c>
      <c r="K11" s="2">
        <v>30</v>
      </c>
      <c r="L11" s="2">
        <v>31</v>
      </c>
      <c r="M11" s="2">
        <v>39</v>
      </c>
      <c r="N11" s="2">
        <v>28</v>
      </c>
    </row>
    <row r="12" spans="1:14" x14ac:dyDescent="0.3">
      <c r="A12" t="s">
        <v>78</v>
      </c>
      <c r="E12" s="2">
        <v>45</v>
      </c>
      <c r="F12" s="2">
        <v>29</v>
      </c>
      <c r="G12" s="2">
        <v>33</v>
      </c>
      <c r="H12" s="2">
        <v>38</v>
      </c>
      <c r="I12" s="2">
        <v>34</v>
      </c>
      <c r="J12" s="2">
        <v>32</v>
      </c>
      <c r="K12" s="2">
        <v>35</v>
      </c>
      <c r="L12" s="2">
        <v>31</v>
      </c>
      <c r="M12" s="2">
        <v>40</v>
      </c>
      <c r="N12" s="2">
        <v>36</v>
      </c>
    </row>
    <row r="13" spans="1:14" x14ac:dyDescent="0.3">
      <c r="A13" t="s">
        <v>76</v>
      </c>
      <c r="E13" s="2">
        <v>39</v>
      </c>
      <c r="F13" s="2">
        <v>27</v>
      </c>
      <c r="G13" s="2">
        <v>35</v>
      </c>
      <c r="H13" s="2">
        <v>30</v>
      </c>
      <c r="I13" s="2">
        <v>43</v>
      </c>
      <c r="J13" s="2">
        <v>29</v>
      </c>
      <c r="K13" s="2">
        <v>32</v>
      </c>
      <c r="L13" s="2">
        <v>36</v>
      </c>
      <c r="M13" s="2">
        <v>31</v>
      </c>
      <c r="N13" s="2">
        <v>40</v>
      </c>
    </row>
    <row r="14" spans="1:14" x14ac:dyDescent="0.3">
      <c r="A14" t="s">
        <v>79</v>
      </c>
      <c r="E14" s="2">
        <v>38</v>
      </c>
      <c r="F14" s="2">
        <v>44</v>
      </c>
      <c r="G14" s="2">
        <v>37</v>
      </c>
      <c r="H14" s="2">
        <v>33</v>
      </c>
      <c r="I14" s="2">
        <v>35</v>
      </c>
      <c r="J14" s="2">
        <v>41</v>
      </c>
      <c r="K14" s="2">
        <v>30</v>
      </c>
      <c r="L14" s="2">
        <v>31</v>
      </c>
      <c r="M14" s="2">
        <v>39</v>
      </c>
      <c r="N14" s="2">
        <v>28</v>
      </c>
    </row>
    <row r="16" spans="1:14" x14ac:dyDescent="0.3">
      <c r="A16" s="3" t="s">
        <v>80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84</v>
      </c>
    </row>
    <row r="17" spans="1:7" x14ac:dyDescent="0.3">
      <c r="A17" s="2">
        <v>28</v>
      </c>
      <c r="C17" s="2">
        <v>31</v>
      </c>
      <c r="D17" s="2">
        <f>COUNTIF(A17:A116,31)</f>
        <v>10</v>
      </c>
      <c r="E17" s="2">
        <f>MODE(A17:A116)</f>
        <v>31</v>
      </c>
      <c r="F17" s="2">
        <f>MEDIAN(A17:A116)</f>
        <v>35</v>
      </c>
      <c r="G17" s="2">
        <f>MAX(A17:A116) - MIN(A17:A116)</f>
        <v>18</v>
      </c>
    </row>
    <row r="18" spans="1:7" x14ac:dyDescent="0.3">
      <c r="A18" s="2">
        <v>32</v>
      </c>
      <c r="C18" s="2">
        <v>35</v>
      </c>
      <c r="D18" s="2">
        <f>COUNTIF(A17:A116,35)</f>
        <v>9</v>
      </c>
    </row>
    <row r="19" spans="1:7" x14ac:dyDescent="0.3">
      <c r="A19" s="2">
        <v>35</v>
      </c>
      <c r="C19" s="2">
        <v>33</v>
      </c>
      <c r="D19" s="2">
        <f>COUNTIF(A17:A116,33)</f>
        <v>7</v>
      </c>
    </row>
    <row r="20" spans="1:7" x14ac:dyDescent="0.3">
      <c r="A20" s="2">
        <v>40</v>
      </c>
      <c r="C20" s="2">
        <v>29</v>
      </c>
      <c r="D20" s="2">
        <f>COUNTIF(A17:A116,29)</f>
        <v>7</v>
      </c>
    </row>
    <row r="21" spans="1:7" x14ac:dyDescent="0.3">
      <c r="A21" s="2">
        <v>42</v>
      </c>
      <c r="C21" s="2">
        <v>36</v>
      </c>
      <c r="D21" s="2">
        <f>COUNTIF(A17:A116,36)</f>
        <v>7</v>
      </c>
    </row>
    <row r="22" spans="1:7" x14ac:dyDescent="0.3">
      <c r="A22" s="2">
        <v>28</v>
      </c>
      <c r="C22" s="2">
        <v>39</v>
      </c>
      <c r="D22" s="2">
        <f>COUNTIF(A17:A116,39)</f>
        <v>7</v>
      </c>
    </row>
    <row r="23" spans="1:7" x14ac:dyDescent="0.3">
      <c r="A23" s="2">
        <v>33</v>
      </c>
      <c r="C23" s="2">
        <v>40</v>
      </c>
      <c r="D23" s="2">
        <f>COUNTIF(A17:A116,40)</f>
        <v>6</v>
      </c>
    </row>
    <row r="24" spans="1:7" x14ac:dyDescent="0.3">
      <c r="A24" s="2">
        <v>38</v>
      </c>
      <c r="C24" s="2">
        <v>38</v>
      </c>
      <c r="D24" s="2">
        <f>COUNTIF(A17:A116,38)</f>
        <v>6</v>
      </c>
    </row>
    <row r="25" spans="1:7" x14ac:dyDescent="0.3">
      <c r="A25" s="2">
        <v>30</v>
      </c>
      <c r="C25" s="2">
        <v>30</v>
      </c>
      <c r="D25" s="2">
        <f>COUNTIF(A17:A116,30)</f>
        <v>6</v>
      </c>
    </row>
    <row r="26" spans="1:7" x14ac:dyDescent="0.3">
      <c r="A26" s="2">
        <v>41</v>
      </c>
      <c r="C26" s="2">
        <v>28</v>
      </c>
      <c r="D26" s="2">
        <f>COUNTIF(A17:A116,28)</f>
        <v>5</v>
      </c>
    </row>
    <row r="27" spans="1:7" x14ac:dyDescent="0.3">
      <c r="A27" s="2">
        <v>37</v>
      </c>
      <c r="C27" s="2">
        <v>32</v>
      </c>
      <c r="D27" s="2">
        <f>COUNTIF(A17:A116,32)</f>
        <v>5</v>
      </c>
    </row>
    <row r="28" spans="1:7" x14ac:dyDescent="0.3">
      <c r="A28" s="2">
        <v>31</v>
      </c>
      <c r="C28" s="2">
        <v>37</v>
      </c>
      <c r="D28" s="2">
        <f>COUNTIF($A$17:$A$116,$C28)</f>
        <v>5</v>
      </c>
    </row>
    <row r="29" spans="1:7" x14ac:dyDescent="0.3">
      <c r="A29" s="2">
        <v>34</v>
      </c>
      <c r="C29" s="2">
        <v>41</v>
      </c>
      <c r="D29" s="2">
        <f t="shared" ref="D29:D35" si="0">COUNTIF($A$17:$A$116,$C29)</f>
        <v>4</v>
      </c>
    </row>
    <row r="30" spans="1:7" x14ac:dyDescent="0.3">
      <c r="A30" s="2">
        <v>29</v>
      </c>
      <c r="C30" s="2">
        <v>34</v>
      </c>
      <c r="D30" s="2">
        <f t="shared" si="0"/>
        <v>3</v>
      </c>
    </row>
    <row r="31" spans="1:7" x14ac:dyDescent="0.3">
      <c r="A31" s="2">
        <v>36</v>
      </c>
      <c r="C31" s="2">
        <v>43</v>
      </c>
      <c r="D31" s="2">
        <f t="shared" si="0"/>
        <v>3</v>
      </c>
    </row>
    <row r="32" spans="1:7" x14ac:dyDescent="0.3">
      <c r="A32" s="2">
        <v>43</v>
      </c>
      <c r="C32" s="2">
        <v>27</v>
      </c>
      <c r="D32" s="2">
        <f t="shared" si="0"/>
        <v>3</v>
      </c>
    </row>
    <row r="33" spans="1:4" x14ac:dyDescent="0.3">
      <c r="A33" s="2">
        <v>39</v>
      </c>
      <c r="C33" s="2">
        <v>44</v>
      </c>
      <c r="D33" s="2">
        <f t="shared" si="0"/>
        <v>3</v>
      </c>
    </row>
    <row r="34" spans="1:4" x14ac:dyDescent="0.3">
      <c r="A34" s="2">
        <v>27</v>
      </c>
      <c r="C34" s="2">
        <v>42</v>
      </c>
      <c r="D34" s="2">
        <f t="shared" si="0"/>
        <v>2</v>
      </c>
    </row>
    <row r="35" spans="1:4" x14ac:dyDescent="0.3">
      <c r="A35" s="2">
        <v>35</v>
      </c>
      <c r="C35" s="2">
        <v>45</v>
      </c>
      <c r="D35" s="2">
        <f t="shared" si="0"/>
        <v>2</v>
      </c>
    </row>
    <row r="36" spans="1:4" x14ac:dyDescent="0.3">
      <c r="A36" s="2">
        <v>31</v>
      </c>
    </row>
    <row r="37" spans="1:4" x14ac:dyDescent="0.3">
      <c r="A37" s="2">
        <v>39</v>
      </c>
    </row>
    <row r="38" spans="1:4" x14ac:dyDescent="0.3">
      <c r="A38" s="2">
        <v>45</v>
      </c>
    </row>
    <row r="39" spans="1:4" x14ac:dyDescent="0.3">
      <c r="A39" s="2">
        <v>29</v>
      </c>
    </row>
    <row r="40" spans="1:4" x14ac:dyDescent="0.3">
      <c r="A40" s="2">
        <v>33</v>
      </c>
    </row>
    <row r="41" spans="1:4" x14ac:dyDescent="0.3">
      <c r="A41" s="2">
        <v>37</v>
      </c>
    </row>
    <row r="42" spans="1:4" x14ac:dyDescent="0.3">
      <c r="A42" s="2">
        <v>40</v>
      </c>
    </row>
    <row r="43" spans="1:4" x14ac:dyDescent="0.3">
      <c r="A43" s="2">
        <v>36</v>
      </c>
    </row>
    <row r="44" spans="1:4" x14ac:dyDescent="0.3">
      <c r="A44" s="2">
        <v>29</v>
      </c>
    </row>
    <row r="45" spans="1:4" x14ac:dyDescent="0.3">
      <c r="A45" s="2">
        <v>31</v>
      </c>
    </row>
    <row r="46" spans="1:4" x14ac:dyDescent="0.3">
      <c r="A46" s="2">
        <v>38</v>
      </c>
    </row>
    <row r="47" spans="1:4" x14ac:dyDescent="0.3">
      <c r="A47" s="2">
        <v>35</v>
      </c>
    </row>
    <row r="48" spans="1:4" x14ac:dyDescent="0.3">
      <c r="A48" s="2">
        <v>44</v>
      </c>
    </row>
    <row r="49" spans="1:1" x14ac:dyDescent="0.3">
      <c r="A49" s="2">
        <v>32</v>
      </c>
    </row>
    <row r="50" spans="1:1" x14ac:dyDescent="0.3">
      <c r="A50" s="2">
        <v>39</v>
      </c>
    </row>
    <row r="51" spans="1:1" x14ac:dyDescent="0.3">
      <c r="A51" s="2">
        <v>36</v>
      </c>
    </row>
    <row r="52" spans="1:1" x14ac:dyDescent="0.3">
      <c r="A52" s="2">
        <v>30</v>
      </c>
    </row>
    <row r="53" spans="1:1" x14ac:dyDescent="0.3">
      <c r="A53" s="2">
        <v>33</v>
      </c>
    </row>
    <row r="54" spans="1:1" x14ac:dyDescent="0.3">
      <c r="A54" s="2">
        <v>28</v>
      </c>
    </row>
    <row r="55" spans="1:1" x14ac:dyDescent="0.3">
      <c r="A55" s="2">
        <v>41</v>
      </c>
    </row>
    <row r="56" spans="1:1" x14ac:dyDescent="0.3">
      <c r="A56" s="2">
        <v>35</v>
      </c>
    </row>
    <row r="57" spans="1:1" x14ac:dyDescent="0.3">
      <c r="A57" s="2">
        <v>31</v>
      </c>
    </row>
    <row r="58" spans="1:1" x14ac:dyDescent="0.3">
      <c r="A58" s="2">
        <v>37</v>
      </c>
    </row>
    <row r="59" spans="1:1" x14ac:dyDescent="0.3">
      <c r="A59" s="2">
        <v>42</v>
      </c>
    </row>
    <row r="60" spans="1:1" x14ac:dyDescent="0.3">
      <c r="A60" s="2">
        <v>29</v>
      </c>
    </row>
    <row r="61" spans="1:1" x14ac:dyDescent="0.3">
      <c r="A61" s="2">
        <v>34</v>
      </c>
    </row>
    <row r="62" spans="1:1" x14ac:dyDescent="0.3">
      <c r="A62" s="2">
        <v>40</v>
      </c>
    </row>
    <row r="63" spans="1:1" x14ac:dyDescent="0.3">
      <c r="A63" s="2">
        <v>31</v>
      </c>
    </row>
    <row r="64" spans="1:1" x14ac:dyDescent="0.3">
      <c r="A64" s="2">
        <v>33</v>
      </c>
    </row>
    <row r="65" spans="1:1" x14ac:dyDescent="0.3">
      <c r="A65" s="2">
        <v>38</v>
      </c>
    </row>
    <row r="66" spans="1:1" x14ac:dyDescent="0.3">
      <c r="A66" s="2">
        <v>36</v>
      </c>
    </row>
    <row r="67" spans="1:1" x14ac:dyDescent="0.3">
      <c r="A67" s="2">
        <v>39</v>
      </c>
    </row>
    <row r="68" spans="1:1" x14ac:dyDescent="0.3">
      <c r="A68" s="2">
        <v>27</v>
      </c>
    </row>
    <row r="69" spans="1:1" x14ac:dyDescent="0.3">
      <c r="A69" s="2">
        <v>35</v>
      </c>
    </row>
    <row r="70" spans="1:1" x14ac:dyDescent="0.3">
      <c r="A70" s="2">
        <v>30</v>
      </c>
    </row>
    <row r="71" spans="1:1" x14ac:dyDescent="0.3">
      <c r="A71" s="2">
        <v>43</v>
      </c>
    </row>
    <row r="72" spans="1:1" x14ac:dyDescent="0.3">
      <c r="A72" s="2">
        <v>29</v>
      </c>
    </row>
    <row r="73" spans="1:1" x14ac:dyDescent="0.3">
      <c r="A73" s="2">
        <v>32</v>
      </c>
    </row>
    <row r="74" spans="1:1" x14ac:dyDescent="0.3">
      <c r="A74" s="2">
        <v>36</v>
      </c>
    </row>
    <row r="75" spans="1:1" x14ac:dyDescent="0.3">
      <c r="A75" s="2">
        <v>31</v>
      </c>
    </row>
    <row r="76" spans="1:1" x14ac:dyDescent="0.3">
      <c r="A76" s="2">
        <v>40</v>
      </c>
    </row>
    <row r="77" spans="1:1" x14ac:dyDescent="0.3">
      <c r="A77" s="2">
        <v>38</v>
      </c>
    </row>
    <row r="78" spans="1:1" x14ac:dyDescent="0.3">
      <c r="A78" s="2">
        <v>44</v>
      </c>
    </row>
    <row r="79" spans="1:1" x14ac:dyDescent="0.3">
      <c r="A79" s="2">
        <v>37</v>
      </c>
    </row>
    <row r="80" spans="1:1" x14ac:dyDescent="0.3">
      <c r="A80" s="2">
        <v>33</v>
      </c>
    </row>
    <row r="81" spans="1:1" x14ac:dyDescent="0.3">
      <c r="A81" s="2">
        <v>35</v>
      </c>
    </row>
    <row r="82" spans="1:1" x14ac:dyDescent="0.3">
      <c r="A82" s="2">
        <v>41</v>
      </c>
    </row>
    <row r="83" spans="1:1" x14ac:dyDescent="0.3">
      <c r="A83" s="2">
        <v>30</v>
      </c>
    </row>
    <row r="84" spans="1:1" x14ac:dyDescent="0.3">
      <c r="A84" s="2">
        <v>31</v>
      </c>
    </row>
    <row r="85" spans="1:1" x14ac:dyDescent="0.3">
      <c r="A85" s="2">
        <v>39</v>
      </c>
    </row>
    <row r="86" spans="1:1" x14ac:dyDescent="0.3">
      <c r="A86" s="2">
        <v>28</v>
      </c>
    </row>
    <row r="87" spans="1:1" x14ac:dyDescent="0.3">
      <c r="A87" s="2">
        <v>45</v>
      </c>
    </row>
    <row r="88" spans="1:1" x14ac:dyDescent="0.3">
      <c r="A88" s="2">
        <v>29</v>
      </c>
    </row>
    <row r="89" spans="1:1" x14ac:dyDescent="0.3">
      <c r="A89" s="2">
        <v>33</v>
      </c>
    </row>
    <row r="90" spans="1:1" x14ac:dyDescent="0.3">
      <c r="A90" s="2">
        <v>38</v>
      </c>
    </row>
    <row r="91" spans="1:1" x14ac:dyDescent="0.3">
      <c r="A91" s="2">
        <v>34</v>
      </c>
    </row>
    <row r="92" spans="1:1" x14ac:dyDescent="0.3">
      <c r="A92" s="2">
        <v>32</v>
      </c>
    </row>
    <row r="93" spans="1:1" x14ac:dyDescent="0.3">
      <c r="A93" s="2">
        <v>35</v>
      </c>
    </row>
    <row r="94" spans="1:1" x14ac:dyDescent="0.3">
      <c r="A94" s="2">
        <v>31</v>
      </c>
    </row>
    <row r="95" spans="1:1" x14ac:dyDescent="0.3">
      <c r="A95" s="2">
        <v>40</v>
      </c>
    </row>
    <row r="96" spans="1:1" x14ac:dyDescent="0.3">
      <c r="A96" s="2">
        <v>36</v>
      </c>
    </row>
    <row r="97" spans="1:1" x14ac:dyDescent="0.3">
      <c r="A97" s="2">
        <v>39</v>
      </c>
    </row>
    <row r="98" spans="1:1" x14ac:dyDescent="0.3">
      <c r="A98" s="2">
        <v>27</v>
      </c>
    </row>
    <row r="99" spans="1:1" x14ac:dyDescent="0.3">
      <c r="A99" s="2">
        <v>35</v>
      </c>
    </row>
    <row r="100" spans="1:1" x14ac:dyDescent="0.3">
      <c r="A100" s="2">
        <v>30</v>
      </c>
    </row>
    <row r="101" spans="1:1" x14ac:dyDescent="0.3">
      <c r="A101" s="2">
        <v>43</v>
      </c>
    </row>
    <row r="102" spans="1:1" x14ac:dyDescent="0.3">
      <c r="A102" s="2">
        <v>29</v>
      </c>
    </row>
    <row r="103" spans="1:1" x14ac:dyDescent="0.3">
      <c r="A103" s="2">
        <v>32</v>
      </c>
    </row>
    <row r="104" spans="1:1" x14ac:dyDescent="0.3">
      <c r="A104" s="2">
        <v>36</v>
      </c>
    </row>
    <row r="105" spans="1:1" x14ac:dyDescent="0.3">
      <c r="A105" s="2">
        <v>31</v>
      </c>
    </row>
    <row r="106" spans="1:1" x14ac:dyDescent="0.3">
      <c r="A106" s="2">
        <v>40</v>
      </c>
    </row>
    <row r="107" spans="1:1" x14ac:dyDescent="0.3">
      <c r="A107" s="2">
        <v>38</v>
      </c>
    </row>
    <row r="108" spans="1:1" x14ac:dyDescent="0.3">
      <c r="A108" s="2">
        <v>44</v>
      </c>
    </row>
    <row r="109" spans="1:1" x14ac:dyDescent="0.3">
      <c r="A109" s="2">
        <v>37</v>
      </c>
    </row>
    <row r="110" spans="1:1" x14ac:dyDescent="0.3">
      <c r="A110" s="2">
        <v>33</v>
      </c>
    </row>
    <row r="111" spans="1:1" x14ac:dyDescent="0.3">
      <c r="A111" s="2">
        <v>35</v>
      </c>
    </row>
    <row r="112" spans="1:1" x14ac:dyDescent="0.3">
      <c r="A112" s="2">
        <v>41</v>
      </c>
    </row>
    <row r="113" spans="1:11" x14ac:dyDescent="0.3">
      <c r="A113" s="2">
        <v>30</v>
      </c>
    </row>
    <row r="114" spans="1:11" x14ac:dyDescent="0.3">
      <c r="A114" s="2">
        <v>31</v>
      </c>
    </row>
    <row r="115" spans="1:11" x14ac:dyDescent="0.3">
      <c r="A115" s="2">
        <v>39</v>
      </c>
    </row>
    <row r="116" spans="1:11" x14ac:dyDescent="0.3">
      <c r="A116" s="2">
        <v>28</v>
      </c>
    </row>
    <row r="118" spans="1:11" x14ac:dyDescent="0.3">
      <c r="A118" s="1" t="s">
        <v>85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20" spans="1:11" x14ac:dyDescent="0.3">
      <c r="A120" s="1" t="s">
        <v>86</v>
      </c>
      <c r="B120" s="1"/>
      <c r="C120" s="1"/>
      <c r="D120" s="1"/>
      <c r="E120" s="1"/>
      <c r="F120" s="1"/>
      <c r="G120" s="1"/>
      <c r="H120" s="1"/>
    </row>
    <row r="122" spans="1:11" x14ac:dyDescent="0.3">
      <c r="A122" t="s">
        <v>87</v>
      </c>
    </row>
    <row r="123" spans="1:11" x14ac:dyDescent="0.3">
      <c r="A123" t="s">
        <v>88</v>
      </c>
    </row>
    <row r="124" spans="1:11" x14ac:dyDescent="0.3">
      <c r="A124" t="s">
        <v>89</v>
      </c>
    </row>
    <row r="125" spans="1:11" x14ac:dyDescent="0.3">
      <c r="A125" t="s">
        <v>90</v>
      </c>
    </row>
    <row r="126" spans="1:11" x14ac:dyDescent="0.3">
      <c r="A126" t="s">
        <v>91</v>
      </c>
    </row>
    <row r="128" spans="1:11" x14ac:dyDescent="0.3">
      <c r="A128" s="3" t="s">
        <v>80</v>
      </c>
      <c r="C128" s="3" t="s">
        <v>80</v>
      </c>
      <c r="D128" s="3" t="s">
        <v>81</v>
      </c>
      <c r="E128" s="6" t="s">
        <v>82</v>
      </c>
      <c r="F128" s="3" t="s">
        <v>83</v>
      </c>
      <c r="G128" s="3" t="s">
        <v>92</v>
      </c>
      <c r="H128" s="3" t="s">
        <v>93</v>
      </c>
      <c r="I128" s="3" t="s">
        <v>94</v>
      </c>
    </row>
    <row r="129" spans="1:9" x14ac:dyDescent="0.3">
      <c r="A129" s="2">
        <v>56</v>
      </c>
      <c r="C129" s="2">
        <v>40</v>
      </c>
      <c r="D129" s="2">
        <f>COUNTIF($A$129:$A$178,$C129)</f>
        <v>3</v>
      </c>
      <c r="E129" s="5">
        <f>MODE(A129:A178)</f>
        <v>40</v>
      </c>
      <c r="F129" s="2">
        <f>MEDIAN(A129:A178)</f>
        <v>50</v>
      </c>
      <c r="G129" s="2">
        <f>I129-H129</f>
        <v>15.75</v>
      </c>
      <c r="H129" s="2">
        <f>QUARTILE(A129:A178,1)</f>
        <v>42.25</v>
      </c>
      <c r="I129" s="2">
        <f>QUARTILE(A129:A178,3)</f>
        <v>58</v>
      </c>
    </row>
    <row r="130" spans="1:9" x14ac:dyDescent="0.3">
      <c r="A130" s="2">
        <v>40</v>
      </c>
      <c r="C130" s="2">
        <v>52</v>
      </c>
      <c r="D130" s="2">
        <f t="shared" ref="D130:D156" si="1">COUNTIF($A$129:$A$178,$C130)</f>
        <v>3</v>
      </c>
    </row>
    <row r="131" spans="1:9" x14ac:dyDescent="0.3">
      <c r="A131" s="2">
        <v>28</v>
      </c>
      <c r="C131" s="2">
        <v>47</v>
      </c>
      <c r="D131" s="2">
        <f t="shared" si="1"/>
        <v>3</v>
      </c>
    </row>
    <row r="132" spans="1:9" x14ac:dyDescent="0.3">
      <c r="A132" s="2">
        <v>73</v>
      </c>
      <c r="C132" s="2">
        <v>65</v>
      </c>
      <c r="D132" s="2">
        <f t="shared" si="1"/>
        <v>3</v>
      </c>
    </row>
    <row r="133" spans="1:9" x14ac:dyDescent="0.3">
      <c r="A133" s="2">
        <v>52</v>
      </c>
      <c r="C133" s="2">
        <v>49</v>
      </c>
      <c r="D133" s="2">
        <f t="shared" si="1"/>
        <v>3</v>
      </c>
    </row>
    <row r="134" spans="1:9" x14ac:dyDescent="0.3">
      <c r="A134" s="2">
        <v>61</v>
      </c>
      <c r="C134" s="2">
        <v>58</v>
      </c>
      <c r="D134" s="2">
        <f t="shared" si="1"/>
        <v>3</v>
      </c>
    </row>
    <row r="135" spans="1:9" x14ac:dyDescent="0.3">
      <c r="A135" s="2">
        <v>35</v>
      </c>
      <c r="C135" s="2">
        <v>56</v>
      </c>
      <c r="D135" s="2">
        <f t="shared" si="1"/>
        <v>2</v>
      </c>
    </row>
    <row r="136" spans="1:9" x14ac:dyDescent="0.3">
      <c r="A136" s="2">
        <v>40</v>
      </c>
      <c r="C136" s="2">
        <v>41</v>
      </c>
      <c r="D136" s="2">
        <f t="shared" si="1"/>
        <v>2</v>
      </c>
    </row>
    <row r="137" spans="1:9" x14ac:dyDescent="0.3">
      <c r="A137" s="2">
        <v>47</v>
      </c>
      <c r="C137" s="2">
        <v>48</v>
      </c>
      <c r="D137" s="2">
        <f t="shared" si="1"/>
        <v>2</v>
      </c>
    </row>
    <row r="138" spans="1:9" x14ac:dyDescent="0.3">
      <c r="A138" s="2">
        <v>65</v>
      </c>
      <c r="C138" s="2">
        <v>55</v>
      </c>
      <c r="D138" s="2">
        <f t="shared" si="1"/>
        <v>2</v>
      </c>
    </row>
    <row r="139" spans="1:9" x14ac:dyDescent="0.3">
      <c r="A139" s="2">
        <v>52</v>
      </c>
      <c r="C139" s="2">
        <v>42</v>
      </c>
      <c r="D139" s="2">
        <f t="shared" si="1"/>
        <v>2</v>
      </c>
    </row>
    <row r="140" spans="1:9" x14ac:dyDescent="0.3">
      <c r="A140" s="2">
        <v>44</v>
      </c>
      <c r="C140" s="2">
        <v>39</v>
      </c>
      <c r="D140" s="2">
        <f t="shared" si="1"/>
        <v>2</v>
      </c>
    </row>
    <row r="141" spans="1:9" x14ac:dyDescent="0.3">
      <c r="A141" s="2">
        <v>38</v>
      </c>
      <c r="C141" s="2">
        <v>62</v>
      </c>
      <c r="D141" s="2">
        <f t="shared" si="1"/>
        <v>2</v>
      </c>
    </row>
    <row r="142" spans="1:9" x14ac:dyDescent="0.3">
      <c r="A142" s="2">
        <v>60</v>
      </c>
      <c r="C142" s="2">
        <v>59</v>
      </c>
      <c r="D142" s="2">
        <f t="shared" si="1"/>
        <v>2</v>
      </c>
    </row>
    <row r="143" spans="1:9" x14ac:dyDescent="0.3">
      <c r="A143" s="2">
        <v>56</v>
      </c>
      <c r="C143" s="2">
        <v>45</v>
      </c>
      <c r="D143" s="2">
        <f t="shared" si="1"/>
        <v>2</v>
      </c>
    </row>
    <row r="144" spans="1:9" x14ac:dyDescent="0.3">
      <c r="A144" s="2">
        <v>40</v>
      </c>
      <c r="C144" s="2">
        <v>51</v>
      </c>
      <c r="D144" s="2">
        <f t="shared" si="1"/>
        <v>2</v>
      </c>
    </row>
    <row r="145" spans="1:4" x14ac:dyDescent="0.3">
      <c r="A145" s="2">
        <v>36</v>
      </c>
      <c r="C145" s="2">
        <v>28</v>
      </c>
      <c r="D145" s="2">
        <f t="shared" si="1"/>
        <v>1</v>
      </c>
    </row>
    <row r="146" spans="1:4" x14ac:dyDescent="0.3">
      <c r="A146" s="2">
        <v>49</v>
      </c>
      <c r="C146" s="2">
        <v>73</v>
      </c>
      <c r="D146" s="2">
        <f t="shared" si="1"/>
        <v>1</v>
      </c>
    </row>
    <row r="147" spans="1:4" x14ac:dyDescent="0.3">
      <c r="A147" s="2">
        <v>68</v>
      </c>
      <c r="C147" s="2">
        <v>61</v>
      </c>
      <c r="D147" s="2">
        <f t="shared" si="1"/>
        <v>1</v>
      </c>
    </row>
    <row r="148" spans="1:4" x14ac:dyDescent="0.3">
      <c r="A148" s="2">
        <v>57</v>
      </c>
      <c r="C148" s="2">
        <v>35</v>
      </c>
      <c r="D148" s="2">
        <f t="shared" si="1"/>
        <v>1</v>
      </c>
    </row>
    <row r="149" spans="1:4" x14ac:dyDescent="0.3">
      <c r="A149" s="2">
        <v>52</v>
      </c>
      <c r="C149" s="2">
        <v>44</v>
      </c>
      <c r="D149" s="2">
        <f t="shared" si="1"/>
        <v>1</v>
      </c>
    </row>
    <row r="150" spans="1:4" x14ac:dyDescent="0.3">
      <c r="A150" s="2">
        <v>63</v>
      </c>
      <c r="C150" s="2">
        <v>38</v>
      </c>
      <c r="D150" s="2">
        <f t="shared" si="1"/>
        <v>1</v>
      </c>
    </row>
    <row r="151" spans="1:4" x14ac:dyDescent="0.3">
      <c r="A151" s="2">
        <v>41</v>
      </c>
      <c r="C151" s="2">
        <v>60</v>
      </c>
      <c r="D151" s="2">
        <f t="shared" si="1"/>
        <v>1</v>
      </c>
    </row>
    <row r="152" spans="1:4" x14ac:dyDescent="0.3">
      <c r="A152" s="2">
        <v>48</v>
      </c>
      <c r="C152" s="2">
        <v>36</v>
      </c>
      <c r="D152" s="2">
        <f t="shared" si="1"/>
        <v>1</v>
      </c>
    </row>
    <row r="153" spans="1:4" x14ac:dyDescent="0.3">
      <c r="A153" s="2">
        <v>55</v>
      </c>
      <c r="C153" s="2">
        <v>68</v>
      </c>
      <c r="D153" s="2">
        <f t="shared" si="1"/>
        <v>1</v>
      </c>
    </row>
    <row r="154" spans="1:4" x14ac:dyDescent="0.3">
      <c r="A154" s="2">
        <v>42</v>
      </c>
      <c r="C154" s="2">
        <v>57</v>
      </c>
      <c r="D154" s="2">
        <f t="shared" si="1"/>
        <v>1</v>
      </c>
    </row>
    <row r="155" spans="1:4" x14ac:dyDescent="0.3">
      <c r="A155" s="2">
        <v>39</v>
      </c>
      <c r="C155" s="2">
        <v>63</v>
      </c>
      <c r="D155" s="2">
        <f t="shared" si="1"/>
        <v>1</v>
      </c>
    </row>
    <row r="156" spans="1:4" x14ac:dyDescent="0.3">
      <c r="A156" s="2">
        <v>58</v>
      </c>
      <c r="C156" s="2">
        <v>43</v>
      </c>
      <c r="D156" s="2">
        <f t="shared" si="1"/>
        <v>1</v>
      </c>
    </row>
    <row r="157" spans="1:4" x14ac:dyDescent="0.3">
      <c r="A157" s="2">
        <v>62</v>
      </c>
    </row>
    <row r="158" spans="1:4" x14ac:dyDescent="0.3">
      <c r="A158" s="2">
        <v>49</v>
      </c>
    </row>
    <row r="159" spans="1:4" x14ac:dyDescent="0.3">
      <c r="A159" s="2">
        <v>59</v>
      </c>
    </row>
    <row r="160" spans="1:4" x14ac:dyDescent="0.3">
      <c r="A160" s="2">
        <v>45</v>
      </c>
    </row>
    <row r="161" spans="1:1" x14ac:dyDescent="0.3">
      <c r="A161" s="2">
        <v>47</v>
      </c>
    </row>
    <row r="162" spans="1:1" x14ac:dyDescent="0.3">
      <c r="A162" s="2">
        <v>51</v>
      </c>
    </row>
    <row r="163" spans="1:1" x14ac:dyDescent="0.3">
      <c r="A163" s="2">
        <v>65</v>
      </c>
    </row>
    <row r="164" spans="1:1" x14ac:dyDescent="0.3">
      <c r="A164" s="2">
        <v>41</v>
      </c>
    </row>
    <row r="165" spans="1:1" x14ac:dyDescent="0.3">
      <c r="A165" s="2">
        <v>48</v>
      </c>
    </row>
    <row r="166" spans="1:1" x14ac:dyDescent="0.3">
      <c r="A166" s="2">
        <v>55</v>
      </c>
    </row>
    <row r="167" spans="1:1" x14ac:dyDescent="0.3">
      <c r="A167" s="2">
        <v>42</v>
      </c>
    </row>
    <row r="168" spans="1:1" x14ac:dyDescent="0.3">
      <c r="A168" s="2">
        <v>39</v>
      </c>
    </row>
    <row r="169" spans="1:1" x14ac:dyDescent="0.3">
      <c r="A169" s="2">
        <v>58</v>
      </c>
    </row>
    <row r="170" spans="1:1" x14ac:dyDescent="0.3">
      <c r="A170" s="2">
        <v>62</v>
      </c>
    </row>
    <row r="171" spans="1:1" x14ac:dyDescent="0.3">
      <c r="A171" s="2">
        <v>49</v>
      </c>
    </row>
    <row r="172" spans="1:1" x14ac:dyDescent="0.3">
      <c r="A172" s="2">
        <v>59</v>
      </c>
    </row>
    <row r="173" spans="1:1" x14ac:dyDescent="0.3">
      <c r="A173" s="2">
        <v>45</v>
      </c>
    </row>
    <row r="174" spans="1:1" x14ac:dyDescent="0.3">
      <c r="A174" s="2">
        <v>47</v>
      </c>
    </row>
    <row r="175" spans="1:1" x14ac:dyDescent="0.3">
      <c r="A175" s="2">
        <v>51</v>
      </c>
    </row>
    <row r="176" spans="1:1" x14ac:dyDescent="0.3">
      <c r="A176" s="2">
        <v>65</v>
      </c>
    </row>
    <row r="177" spans="1:1" x14ac:dyDescent="0.3">
      <c r="A177" s="2">
        <v>43</v>
      </c>
    </row>
    <row r="178" spans="1:1" x14ac:dyDescent="0.3">
      <c r="A178" s="2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9652-01D0-484A-A5F7-A3EAC182FF47}">
  <dimension ref="A1:T344"/>
  <sheetViews>
    <sheetView topLeftCell="A142" workbookViewId="0">
      <selection activeCell="U224" sqref="U224"/>
    </sheetView>
  </sheetViews>
  <sheetFormatPr defaultRowHeight="14.4" x14ac:dyDescent="0.3"/>
  <cols>
    <col min="1" max="1" width="11.109375" customWidth="1"/>
    <col min="2" max="2" width="9.6640625" customWidth="1"/>
    <col min="3" max="3" width="9.77734375" bestFit="1" customWidth="1"/>
    <col min="5" max="5" width="9.6640625" bestFit="1" customWidth="1"/>
    <col min="6" max="6" width="10.88671875" customWidth="1"/>
    <col min="16" max="16" width="9.33203125" bestFit="1" customWidth="1"/>
    <col min="17" max="17" width="9.6640625" bestFit="1" customWidth="1"/>
  </cols>
  <sheetData>
    <row r="1" spans="1:19" x14ac:dyDescent="0.3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9" x14ac:dyDescent="0.3">
      <c r="A3" s="1" t="s">
        <v>96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9" x14ac:dyDescent="0.3">
      <c r="A5" t="s">
        <v>97</v>
      </c>
    </row>
    <row r="6" spans="1:19" x14ac:dyDescent="0.3">
      <c r="A6" t="s">
        <v>98</v>
      </c>
    </row>
    <row r="8" spans="1:19" x14ac:dyDescent="0.3">
      <c r="A8" s="3" t="s">
        <v>104</v>
      </c>
      <c r="B8" s="3" t="s">
        <v>106</v>
      </c>
      <c r="D8" s="12" t="s">
        <v>107</v>
      </c>
      <c r="E8" s="12"/>
      <c r="F8" s="12"/>
      <c r="G8" s="12"/>
      <c r="H8" s="12"/>
      <c r="I8" s="12"/>
      <c r="J8" s="12"/>
      <c r="L8" s="12" t="s">
        <v>110</v>
      </c>
      <c r="M8" s="12"/>
      <c r="N8" s="12"/>
      <c r="O8" s="12"/>
      <c r="P8" s="12"/>
      <c r="Q8" s="12"/>
      <c r="R8" s="12"/>
      <c r="S8" s="12"/>
    </row>
    <row r="9" spans="1:19" x14ac:dyDescent="0.3">
      <c r="A9" s="2" t="s">
        <v>105</v>
      </c>
      <c r="B9" s="2">
        <v>30</v>
      </c>
    </row>
    <row r="10" spans="1:19" x14ac:dyDescent="0.3">
      <c r="A10" s="2" t="s">
        <v>99</v>
      </c>
      <c r="B10" s="2">
        <v>20</v>
      </c>
    </row>
    <row r="11" spans="1:19" x14ac:dyDescent="0.3">
      <c r="A11" s="2" t="s">
        <v>100</v>
      </c>
      <c r="B11" s="2">
        <v>10</v>
      </c>
    </row>
    <row r="12" spans="1:19" x14ac:dyDescent="0.3">
      <c r="A12" s="2" t="s">
        <v>101</v>
      </c>
      <c r="B12" s="2">
        <v>45</v>
      </c>
    </row>
    <row r="13" spans="1:19" x14ac:dyDescent="0.3">
      <c r="A13" s="2" t="s">
        <v>102</v>
      </c>
      <c r="B13" s="2">
        <v>25</v>
      </c>
    </row>
    <row r="14" spans="1:19" x14ac:dyDescent="0.3">
      <c r="A14" s="2" t="s">
        <v>103</v>
      </c>
      <c r="B14" s="2">
        <v>30</v>
      </c>
    </row>
    <row r="26" spans="1:13" x14ac:dyDescent="0.3">
      <c r="A26" s="1" t="s">
        <v>109</v>
      </c>
      <c r="B26" s="1"/>
      <c r="C26" s="1"/>
      <c r="D26" s="1"/>
      <c r="E26" s="1"/>
      <c r="F26" s="1"/>
    </row>
    <row r="27" spans="1:13" x14ac:dyDescent="0.3">
      <c r="A27" s="1" t="s">
        <v>108</v>
      </c>
      <c r="B27" s="1"/>
      <c r="C27" s="1"/>
      <c r="D27" s="1"/>
      <c r="E27" s="1"/>
    </row>
    <row r="29" spans="1:13" x14ac:dyDescent="0.3">
      <c r="A29" s="1" t="s">
        <v>111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1" spans="1:13" x14ac:dyDescent="0.3">
      <c r="A31" s="1" t="s">
        <v>112</v>
      </c>
      <c r="B31" s="1"/>
      <c r="C31" s="1"/>
      <c r="D31" s="1"/>
      <c r="E31" s="1"/>
    </row>
    <row r="33" spans="1:20" x14ac:dyDescent="0.3">
      <c r="A33" t="s">
        <v>113</v>
      </c>
    </row>
    <row r="34" spans="1:20" x14ac:dyDescent="0.3">
      <c r="A34" t="s">
        <v>114</v>
      </c>
    </row>
    <row r="35" spans="1:20" x14ac:dyDescent="0.3">
      <c r="A35" t="s">
        <v>115</v>
      </c>
    </row>
    <row r="36" spans="1:20" x14ac:dyDescent="0.3">
      <c r="A36" t="s">
        <v>116</v>
      </c>
    </row>
    <row r="37" spans="1:20" x14ac:dyDescent="0.3">
      <c r="A37" t="s">
        <v>117</v>
      </c>
    </row>
    <row r="38" spans="1:20" x14ac:dyDescent="0.3">
      <c r="A38" t="s">
        <v>118</v>
      </c>
    </row>
    <row r="39" spans="1:20" x14ac:dyDescent="0.3">
      <c r="A39" t="s">
        <v>116</v>
      </c>
    </row>
    <row r="40" spans="1:20" x14ac:dyDescent="0.3">
      <c r="A40" t="s">
        <v>117</v>
      </c>
    </row>
    <row r="41" spans="1:20" x14ac:dyDescent="0.3">
      <c r="A41" t="s">
        <v>118</v>
      </c>
    </row>
    <row r="42" spans="1:20" x14ac:dyDescent="0.3">
      <c r="A42" t="s">
        <v>119</v>
      </c>
    </row>
    <row r="44" spans="1:20" x14ac:dyDescent="0.3">
      <c r="A44" s="3" t="s">
        <v>120</v>
      </c>
      <c r="B44" s="3" t="s">
        <v>80</v>
      </c>
      <c r="C44" s="3" t="s">
        <v>106</v>
      </c>
      <c r="E44" s="12" t="s">
        <v>121</v>
      </c>
      <c r="F44" s="12"/>
      <c r="G44" s="12"/>
      <c r="H44" s="12"/>
      <c r="I44" s="12"/>
      <c r="J44" s="12"/>
      <c r="K44" s="12"/>
      <c r="M44" s="12" t="s">
        <v>122</v>
      </c>
      <c r="N44" s="12"/>
      <c r="O44" s="12"/>
      <c r="P44" s="12"/>
      <c r="Q44" s="12"/>
      <c r="R44" s="12"/>
      <c r="S44" s="12"/>
      <c r="T44" s="12"/>
    </row>
    <row r="45" spans="1:20" x14ac:dyDescent="0.3">
      <c r="A45" s="2">
        <v>4</v>
      </c>
      <c r="B45" s="2">
        <v>1</v>
      </c>
      <c r="C45" s="2">
        <f>COUNTIF($A$45:$A$144,$B45)</f>
        <v>0</v>
      </c>
    </row>
    <row r="46" spans="1:20" x14ac:dyDescent="0.3">
      <c r="A46" s="2">
        <v>5</v>
      </c>
      <c r="B46" s="2">
        <v>2</v>
      </c>
      <c r="C46" s="2">
        <f t="shared" ref="C46:C49" si="0">COUNTIF($A$45:$A$144,$B46)</f>
        <v>8</v>
      </c>
    </row>
    <row r="47" spans="1:20" x14ac:dyDescent="0.3">
      <c r="A47" s="2">
        <v>3</v>
      </c>
      <c r="B47" s="2">
        <v>3</v>
      </c>
      <c r="C47" s="2">
        <f t="shared" si="0"/>
        <v>30</v>
      </c>
    </row>
    <row r="48" spans="1:20" x14ac:dyDescent="0.3">
      <c r="A48" s="2">
        <v>4</v>
      </c>
      <c r="B48" s="2">
        <v>4</v>
      </c>
      <c r="C48" s="2">
        <f t="shared" si="0"/>
        <v>39</v>
      </c>
    </row>
    <row r="49" spans="1:5" x14ac:dyDescent="0.3">
      <c r="A49" s="2">
        <v>4</v>
      </c>
      <c r="B49" s="2">
        <v>5</v>
      </c>
      <c r="C49" s="2">
        <f t="shared" si="0"/>
        <v>23</v>
      </c>
    </row>
    <row r="50" spans="1:5" x14ac:dyDescent="0.3">
      <c r="A50" s="2">
        <v>3</v>
      </c>
    </row>
    <row r="51" spans="1:5" x14ac:dyDescent="0.3">
      <c r="A51" s="2">
        <v>2</v>
      </c>
    </row>
    <row r="52" spans="1:5" x14ac:dyDescent="0.3">
      <c r="A52" s="2">
        <v>5</v>
      </c>
    </row>
    <row r="53" spans="1:5" x14ac:dyDescent="0.3">
      <c r="A53" s="2">
        <v>4</v>
      </c>
    </row>
    <row r="54" spans="1:5" x14ac:dyDescent="0.3">
      <c r="A54" s="2">
        <v>3</v>
      </c>
    </row>
    <row r="55" spans="1:5" x14ac:dyDescent="0.3">
      <c r="A55" s="2">
        <v>5</v>
      </c>
    </row>
    <row r="56" spans="1:5" x14ac:dyDescent="0.3">
      <c r="A56" s="2">
        <v>4</v>
      </c>
    </row>
    <row r="57" spans="1:5" x14ac:dyDescent="0.3">
      <c r="A57" s="2">
        <v>2</v>
      </c>
    </row>
    <row r="58" spans="1:5" x14ac:dyDescent="0.3">
      <c r="A58" s="2">
        <v>3</v>
      </c>
    </row>
    <row r="59" spans="1:5" x14ac:dyDescent="0.3">
      <c r="A59" s="2">
        <v>4</v>
      </c>
    </row>
    <row r="60" spans="1:5" x14ac:dyDescent="0.3">
      <c r="A60" s="2">
        <v>5</v>
      </c>
    </row>
    <row r="61" spans="1:5" x14ac:dyDescent="0.3">
      <c r="A61" s="2">
        <v>3</v>
      </c>
    </row>
    <row r="62" spans="1:5" x14ac:dyDescent="0.3">
      <c r="A62" s="2">
        <v>4</v>
      </c>
      <c r="E62" s="3" t="s">
        <v>82</v>
      </c>
    </row>
    <row r="63" spans="1:5" x14ac:dyDescent="0.3">
      <c r="A63" s="2">
        <v>5</v>
      </c>
      <c r="E63" s="2">
        <f>MODE(A45:A144)</f>
        <v>4</v>
      </c>
    </row>
    <row r="64" spans="1:5" x14ac:dyDescent="0.3">
      <c r="A64" s="2">
        <v>3</v>
      </c>
    </row>
    <row r="65" spans="1:1" x14ac:dyDescent="0.3">
      <c r="A65" s="2">
        <v>4</v>
      </c>
    </row>
    <row r="66" spans="1:1" x14ac:dyDescent="0.3">
      <c r="A66" s="2">
        <v>3</v>
      </c>
    </row>
    <row r="67" spans="1:1" x14ac:dyDescent="0.3">
      <c r="A67" s="2">
        <v>2</v>
      </c>
    </row>
    <row r="68" spans="1:1" x14ac:dyDescent="0.3">
      <c r="A68" s="2">
        <v>4</v>
      </c>
    </row>
    <row r="69" spans="1:1" x14ac:dyDescent="0.3">
      <c r="A69" s="2">
        <v>5</v>
      </c>
    </row>
    <row r="70" spans="1:1" x14ac:dyDescent="0.3">
      <c r="A70" s="2">
        <v>3</v>
      </c>
    </row>
    <row r="71" spans="1:1" x14ac:dyDescent="0.3">
      <c r="A71" s="2">
        <v>4</v>
      </c>
    </row>
    <row r="72" spans="1:1" x14ac:dyDescent="0.3">
      <c r="A72" s="2">
        <v>5</v>
      </c>
    </row>
    <row r="73" spans="1:1" x14ac:dyDescent="0.3">
      <c r="A73" s="2">
        <v>4</v>
      </c>
    </row>
    <row r="74" spans="1:1" x14ac:dyDescent="0.3">
      <c r="A74" s="2">
        <v>3</v>
      </c>
    </row>
    <row r="75" spans="1:1" x14ac:dyDescent="0.3">
      <c r="A75" s="2">
        <v>3</v>
      </c>
    </row>
    <row r="76" spans="1:1" x14ac:dyDescent="0.3">
      <c r="A76" s="2">
        <v>4</v>
      </c>
    </row>
    <row r="77" spans="1:1" x14ac:dyDescent="0.3">
      <c r="A77" s="2">
        <v>5</v>
      </c>
    </row>
    <row r="78" spans="1:1" x14ac:dyDescent="0.3">
      <c r="A78" s="2">
        <v>2</v>
      </c>
    </row>
    <row r="79" spans="1:1" x14ac:dyDescent="0.3">
      <c r="A79" s="2">
        <v>3</v>
      </c>
    </row>
    <row r="80" spans="1:1" x14ac:dyDescent="0.3">
      <c r="A80" s="2">
        <v>4</v>
      </c>
    </row>
    <row r="81" spans="1:1" x14ac:dyDescent="0.3">
      <c r="A81" s="2">
        <v>4</v>
      </c>
    </row>
    <row r="82" spans="1:1" x14ac:dyDescent="0.3">
      <c r="A82" s="2">
        <v>3</v>
      </c>
    </row>
    <row r="83" spans="1:1" x14ac:dyDescent="0.3">
      <c r="A83" s="2">
        <v>5</v>
      </c>
    </row>
    <row r="84" spans="1:1" x14ac:dyDescent="0.3">
      <c r="A84" s="2">
        <v>4</v>
      </c>
    </row>
    <row r="85" spans="1:1" x14ac:dyDescent="0.3">
      <c r="A85" s="2">
        <v>3</v>
      </c>
    </row>
    <row r="86" spans="1:1" x14ac:dyDescent="0.3">
      <c r="A86" s="2">
        <v>4</v>
      </c>
    </row>
    <row r="87" spans="1:1" x14ac:dyDescent="0.3">
      <c r="A87" s="2">
        <v>5</v>
      </c>
    </row>
    <row r="88" spans="1:1" x14ac:dyDescent="0.3">
      <c r="A88" s="2">
        <v>4</v>
      </c>
    </row>
    <row r="89" spans="1:1" x14ac:dyDescent="0.3">
      <c r="A89" s="2">
        <v>2</v>
      </c>
    </row>
    <row r="90" spans="1:1" x14ac:dyDescent="0.3">
      <c r="A90" s="2">
        <v>3</v>
      </c>
    </row>
    <row r="91" spans="1:1" x14ac:dyDescent="0.3">
      <c r="A91" s="2">
        <v>4</v>
      </c>
    </row>
    <row r="92" spans="1:1" x14ac:dyDescent="0.3">
      <c r="A92" s="2">
        <v>5</v>
      </c>
    </row>
    <row r="93" spans="1:1" x14ac:dyDescent="0.3">
      <c r="A93" s="2">
        <v>3</v>
      </c>
    </row>
    <row r="94" spans="1:1" x14ac:dyDescent="0.3">
      <c r="A94" s="2">
        <v>4</v>
      </c>
    </row>
    <row r="95" spans="1:1" x14ac:dyDescent="0.3">
      <c r="A95" s="2">
        <v>5</v>
      </c>
    </row>
    <row r="96" spans="1:1" x14ac:dyDescent="0.3">
      <c r="A96" s="2">
        <v>4</v>
      </c>
    </row>
    <row r="97" spans="1:1" x14ac:dyDescent="0.3">
      <c r="A97" s="2">
        <v>3</v>
      </c>
    </row>
    <row r="98" spans="1:1" x14ac:dyDescent="0.3">
      <c r="A98" s="2">
        <v>4</v>
      </c>
    </row>
    <row r="99" spans="1:1" x14ac:dyDescent="0.3">
      <c r="A99" s="2">
        <v>5</v>
      </c>
    </row>
    <row r="100" spans="1:1" x14ac:dyDescent="0.3">
      <c r="A100" s="2">
        <v>3</v>
      </c>
    </row>
    <row r="101" spans="1:1" x14ac:dyDescent="0.3">
      <c r="A101" s="2">
        <v>4</v>
      </c>
    </row>
    <row r="102" spans="1:1" x14ac:dyDescent="0.3">
      <c r="A102" s="2">
        <v>5</v>
      </c>
    </row>
    <row r="103" spans="1:1" x14ac:dyDescent="0.3">
      <c r="A103" s="2">
        <v>4</v>
      </c>
    </row>
    <row r="104" spans="1:1" x14ac:dyDescent="0.3">
      <c r="A104" s="2">
        <v>3</v>
      </c>
    </row>
    <row r="105" spans="1:1" x14ac:dyDescent="0.3">
      <c r="A105" s="2">
        <v>3</v>
      </c>
    </row>
    <row r="106" spans="1:1" x14ac:dyDescent="0.3">
      <c r="A106" s="2">
        <v>4</v>
      </c>
    </row>
    <row r="107" spans="1:1" x14ac:dyDescent="0.3">
      <c r="A107" s="2">
        <v>5</v>
      </c>
    </row>
    <row r="108" spans="1:1" x14ac:dyDescent="0.3">
      <c r="A108" s="2">
        <v>2</v>
      </c>
    </row>
    <row r="109" spans="1:1" x14ac:dyDescent="0.3">
      <c r="A109" s="2">
        <v>3</v>
      </c>
    </row>
    <row r="110" spans="1:1" x14ac:dyDescent="0.3">
      <c r="A110" s="2">
        <v>4</v>
      </c>
    </row>
    <row r="111" spans="1:1" x14ac:dyDescent="0.3">
      <c r="A111" s="2">
        <v>4</v>
      </c>
    </row>
    <row r="112" spans="1:1" x14ac:dyDescent="0.3">
      <c r="A112" s="2">
        <v>3</v>
      </c>
    </row>
    <row r="113" spans="1:1" x14ac:dyDescent="0.3">
      <c r="A113" s="2">
        <v>5</v>
      </c>
    </row>
    <row r="114" spans="1:1" x14ac:dyDescent="0.3">
      <c r="A114" s="2">
        <v>4</v>
      </c>
    </row>
    <row r="115" spans="1:1" x14ac:dyDescent="0.3">
      <c r="A115" s="2">
        <v>3</v>
      </c>
    </row>
    <row r="116" spans="1:1" x14ac:dyDescent="0.3">
      <c r="A116" s="2">
        <v>4</v>
      </c>
    </row>
    <row r="117" spans="1:1" x14ac:dyDescent="0.3">
      <c r="A117" s="2">
        <v>5</v>
      </c>
    </row>
    <row r="118" spans="1:1" x14ac:dyDescent="0.3">
      <c r="A118" s="2">
        <v>4</v>
      </c>
    </row>
    <row r="119" spans="1:1" x14ac:dyDescent="0.3">
      <c r="A119" s="2">
        <v>2</v>
      </c>
    </row>
    <row r="120" spans="1:1" x14ac:dyDescent="0.3">
      <c r="A120" s="2">
        <v>3</v>
      </c>
    </row>
    <row r="121" spans="1:1" x14ac:dyDescent="0.3">
      <c r="A121" s="2">
        <v>4</v>
      </c>
    </row>
    <row r="122" spans="1:1" x14ac:dyDescent="0.3">
      <c r="A122" s="2">
        <v>5</v>
      </c>
    </row>
    <row r="123" spans="1:1" x14ac:dyDescent="0.3">
      <c r="A123" s="2">
        <v>3</v>
      </c>
    </row>
    <row r="124" spans="1:1" x14ac:dyDescent="0.3">
      <c r="A124" s="2">
        <v>4</v>
      </c>
    </row>
    <row r="125" spans="1:1" x14ac:dyDescent="0.3">
      <c r="A125" s="2">
        <v>5</v>
      </c>
    </row>
    <row r="126" spans="1:1" x14ac:dyDescent="0.3">
      <c r="A126" s="2">
        <v>4</v>
      </c>
    </row>
    <row r="127" spans="1:1" x14ac:dyDescent="0.3">
      <c r="A127" s="2">
        <v>3</v>
      </c>
    </row>
    <row r="128" spans="1:1" x14ac:dyDescent="0.3">
      <c r="A128" s="2">
        <v>4</v>
      </c>
    </row>
    <row r="129" spans="1:1" x14ac:dyDescent="0.3">
      <c r="A129" s="2">
        <v>5</v>
      </c>
    </row>
    <row r="130" spans="1:1" x14ac:dyDescent="0.3">
      <c r="A130" s="2">
        <v>3</v>
      </c>
    </row>
    <row r="131" spans="1:1" x14ac:dyDescent="0.3">
      <c r="A131" s="2">
        <v>4</v>
      </c>
    </row>
    <row r="132" spans="1:1" x14ac:dyDescent="0.3">
      <c r="A132" s="2">
        <v>5</v>
      </c>
    </row>
    <row r="133" spans="1:1" x14ac:dyDescent="0.3">
      <c r="A133" s="2">
        <v>4</v>
      </c>
    </row>
    <row r="134" spans="1:1" x14ac:dyDescent="0.3">
      <c r="A134" s="2">
        <v>3</v>
      </c>
    </row>
    <row r="135" spans="1:1" x14ac:dyDescent="0.3">
      <c r="A135" s="2">
        <v>3</v>
      </c>
    </row>
    <row r="136" spans="1:1" x14ac:dyDescent="0.3">
      <c r="A136" s="2">
        <v>4</v>
      </c>
    </row>
    <row r="137" spans="1:1" x14ac:dyDescent="0.3">
      <c r="A137" s="2">
        <v>5</v>
      </c>
    </row>
    <row r="138" spans="1:1" x14ac:dyDescent="0.3">
      <c r="A138" s="2">
        <v>2</v>
      </c>
    </row>
    <row r="139" spans="1:1" x14ac:dyDescent="0.3">
      <c r="A139" s="2">
        <v>3</v>
      </c>
    </row>
    <row r="140" spans="1:1" x14ac:dyDescent="0.3">
      <c r="A140" s="2">
        <v>4</v>
      </c>
    </row>
    <row r="141" spans="1:1" x14ac:dyDescent="0.3">
      <c r="A141" s="2">
        <v>4</v>
      </c>
    </row>
    <row r="142" spans="1:1" x14ac:dyDescent="0.3">
      <c r="A142" s="2">
        <v>3</v>
      </c>
    </row>
    <row r="143" spans="1:1" x14ac:dyDescent="0.3">
      <c r="A143" s="2">
        <v>5</v>
      </c>
    </row>
    <row r="144" spans="1:1" x14ac:dyDescent="0.3">
      <c r="A144" s="2">
        <v>4</v>
      </c>
    </row>
    <row r="146" spans="1:20" x14ac:dyDescent="0.3">
      <c r="A146" s="1" t="s">
        <v>123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8" spans="1:20" x14ac:dyDescent="0.3">
      <c r="A148" s="1" t="s">
        <v>124</v>
      </c>
      <c r="B148" s="1"/>
      <c r="C148" s="1"/>
      <c r="D148" s="1"/>
      <c r="E148" s="1"/>
      <c r="F148" s="1"/>
      <c r="G148" s="1"/>
      <c r="H148" s="1"/>
      <c r="I148" s="1"/>
    </row>
    <row r="150" spans="1:20" x14ac:dyDescent="0.3">
      <c r="A150" s="1" t="s">
        <v>125</v>
      </c>
    </row>
    <row r="151" spans="1:20" x14ac:dyDescent="0.3">
      <c r="A151" t="s">
        <v>126</v>
      </c>
      <c r="E151" s="12" t="s">
        <v>132</v>
      </c>
      <c r="F151" s="12"/>
      <c r="G151" s="12"/>
      <c r="H151" s="12"/>
      <c r="I151" s="12"/>
      <c r="J151" s="12"/>
      <c r="K151" s="12"/>
      <c r="M151" s="12" t="s">
        <v>122</v>
      </c>
      <c r="N151" s="12"/>
      <c r="O151" s="12"/>
      <c r="P151" s="12"/>
      <c r="Q151" s="12"/>
      <c r="R151" s="12"/>
      <c r="S151" s="12"/>
      <c r="T151" s="12"/>
    </row>
    <row r="152" spans="1:20" x14ac:dyDescent="0.3">
      <c r="A152" t="s">
        <v>127</v>
      </c>
    </row>
    <row r="153" spans="1:20" x14ac:dyDescent="0.3">
      <c r="A153" t="s">
        <v>128</v>
      </c>
    </row>
    <row r="154" spans="1:20" x14ac:dyDescent="0.3">
      <c r="A154" t="s">
        <v>129</v>
      </c>
    </row>
    <row r="155" spans="1:20" x14ac:dyDescent="0.3">
      <c r="A155" t="s">
        <v>130</v>
      </c>
    </row>
    <row r="157" spans="1:20" x14ac:dyDescent="0.3">
      <c r="A157" s="3" t="s">
        <v>131</v>
      </c>
      <c r="B157" s="6" t="s">
        <v>80</v>
      </c>
      <c r="C157" s="3" t="s">
        <v>106</v>
      </c>
    </row>
    <row r="158" spans="1:20" x14ac:dyDescent="0.3">
      <c r="A158" s="2">
        <v>35</v>
      </c>
      <c r="B158" s="5">
        <v>28</v>
      </c>
      <c r="C158" s="2">
        <f>COUNTIF($A$158:$A$207,$B158)</f>
        <v>4</v>
      </c>
    </row>
    <row r="159" spans="1:20" x14ac:dyDescent="0.3">
      <c r="A159" s="2">
        <v>28</v>
      </c>
      <c r="B159" s="5">
        <v>29</v>
      </c>
      <c r="C159" s="2">
        <f t="shared" ref="C159:C176" si="1">COUNTIF($A$158:$A$207,$B159)</f>
        <v>3</v>
      </c>
    </row>
    <row r="160" spans="1:20" x14ac:dyDescent="0.3">
      <c r="A160" s="2">
        <v>32</v>
      </c>
      <c r="B160" s="5">
        <v>30</v>
      </c>
      <c r="C160" s="2">
        <f t="shared" si="1"/>
        <v>3</v>
      </c>
    </row>
    <row r="161" spans="1:5" x14ac:dyDescent="0.3">
      <c r="A161" s="2">
        <v>45</v>
      </c>
      <c r="B161" s="5">
        <v>31</v>
      </c>
      <c r="C161" s="2">
        <f t="shared" si="1"/>
        <v>3</v>
      </c>
    </row>
    <row r="162" spans="1:5" x14ac:dyDescent="0.3">
      <c r="A162" s="2">
        <v>38</v>
      </c>
      <c r="B162" s="5">
        <v>32</v>
      </c>
      <c r="C162" s="2">
        <f t="shared" si="1"/>
        <v>2</v>
      </c>
    </row>
    <row r="163" spans="1:5" x14ac:dyDescent="0.3">
      <c r="A163" s="2">
        <v>29</v>
      </c>
      <c r="B163" s="5">
        <v>33</v>
      </c>
      <c r="C163" s="2">
        <f t="shared" si="1"/>
        <v>3</v>
      </c>
    </row>
    <row r="164" spans="1:5" x14ac:dyDescent="0.3">
      <c r="A164" s="2">
        <v>42</v>
      </c>
      <c r="B164" s="5">
        <v>34</v>
      </c>
      <c r="C164" s="2">
        <f t="shared" si="1"/>
        <v>2</v>
      </c>
    </row>
    <row r="165" spans="1:5" x14ac:dyDescent="0.3">
      <c r="A165" s="2">
        <v>30</v>
      </c>
      <c r="B165" s="5">
        <v>35</v>
      </c>
      <c r="C165" s="2">
        <f t="shared" si="1"/>
        <v>3</v>
      </c>
    </row>
    <row r="166" spans="1:5" x14ac:dyDescent="0.3">
      <c r="A166" s="2">
        <v>36</v>
      </c>
      <c r="B166" s="5">
        <v>36</v>
      </c>
      <c r="C166" s="2">
        <f t="shared" si="1"/>
        <v>3</v>
      </c>
    </row>
    <row r="167" spans="1:5" x14ac:dyDescent="0.3">
      <c r="A167" s="2">
        <v>41</v>
      </c>
      <c r="B167" s="5">
        <v>37</v>
      </c>
      <c r="C167" s="2">
        <f t="shared" si="1"/>
        <v>3</v>
      </c>
    </row>
    <row r="168" spans="1:5" x14ac:dyDescent="0.3">
      <c r="A168" s="2">
        <v>47</v>
      </c>
      <c r="B168" s="5">
        <v>38</v>
      </c>
      <c r="C168" s="2">
        <f t="shared" si="1"/>
        <v>3</v>
      </c>
    </row>
    <row r="169" spans="1:5" x14ac:dyDescent="0.3">
      <c r="A169" s="2">
        <v>31</v>
      </c>
      <c r="B169" s="5">
        <v>39</v>
      </c>
      <c r="C169" s="2">
        <f t="shared" si="1"/>
        <v>4</v>
      </c>
      <c r="E169" s="3" t="s">
        <v>133</v>
      </c>
    </row>
    <row r="170" spans="1:5" x14ac:dyDescent="0.3">
      <c r="A170" s="2">
        <v>39</v>
      </c>
      <c r="B170" s="5">
        <v>40</v>
      </c>
      <c r="C170" s="2">
        <f t="shared" si="1"/>
        <v>2</v>
      </c>
      <c r="E170" s="2">
        <f>AVERAGE(A158:A207)</f>
        <v>36.14</v>
      </c>
    </row>
    <row r="171" spans="1:5" x14ac:dyDescent="0.3">
      <c r="A171" s="2">
        <v>43</v>
      </c>
      <c r="B171" s="5">
        <v>41</v>
      </c>
      <c r="C171" s="2">
        <f t="shared" si="1"/>
        <v>2</v>
      </c>
    </row>
    <row r="172" spans="1:5" x14ac:dyDescent="0.3">
      <c r="A172" s="2">
        <v>37</v>
      </c>
      <c r="B172" s="5">
        <v>42</v>
      </c>
      <c r="C172" s="2">
        <f t="shared" si="1"/>
        <v>3</v>
      </c>
    </row>
    <row r="173" spans="1:5" x14ac:dyDescent="0.3">
      <c r="A173" s="2">
        <v>30</v>
      </c>
      <c r="B173" s="5">
        <v>43</v>
      </c>
      <c r="C173" s="2">
        <f t="shared" si="1"/>
        <v>3</v>
      </c>
    </row>
    <row r="174" spans="1:5" x14ac:dyDescent="0.3">
      <c r="A174" s="2">
        <v>34</v>
      </c>
      <c r="B174" s="5">
        <v>45</v>
      </c>
      <c r="C174" s="2">
        <f t="shared" si="1"/>
        <v>2</v>
      </c>
    </row>
    <row r="175" spans="1:5" x14ac:dyDescent="0.3">
      <c r="A175" s="2">
        <v>39</v>
      </c>
      <c r="B175" s="5">
        <v>46</v>
      </c>
      <c r="C175" s="2">
        <f t="shared" si="1"/>
        <v>1</v>
      </c>
    </row>
    <row r="176" spans="1:5" x14ac:dyDescent="0.3">
      <c r="A176" s="2">
        <v>28</v>
      </c>
      <c r="B176" s="5">
        <v>47</v>
      </c>
      <c r="C176" s="2">
        <f t="shared" si="1"/>
        <v>1</v>
      </c>
    </row>
    <row r="177" spans="1:1" x14ac:dyDescent="0.3">
      <c r="A177" s="2">
        <v>33</v>
      </c>
    </row>
    <row r="178" spans="1:1" x14ac:dyDescent="0.3">
      <c r="A178" s="2">
        <v>36</v>
      </c>
    </row>
    <row r="179" spans="1:1" x14ac:dyDescent="0.3">
      <c r="A179" s="2">
        <v>40</v>
      </c>
    </row>
    <row r="180" spans="1:1" x14ac:dyDescent="0.3">
      <c r="A180" s="2">
        <v>42</v>
      </c>
    </row>
    <row r="181" spans="1:1" x14ac:dyDescent="0.3">
      <c r="A181" s="2">
        <v>29</v>
      </c>
    </row>
    <row r="182" spans="1:1" x14ac:dyDescent="0.3">
      <c r="A182" s="2">
        <v>31</v>
      </c>
    </row>
    <row r="183" spans="1:1" x14ac:dyDescent="0.3">
      <c r="A183" s="2">
        <v>45</v>
      </c>
    </row>
    <row r="184" spans="1:1" x14ac:dyDescent="0.3">
      <c r="A184" s="2">
        <v>38</v>
      </c>
    </row>
    <row r="185" spans="1:1" x14ac:dyDescent="0.3">
      <c r="A185" s="2">
        <v>33</v>
      </c>
    </row>
    <row r="186" spans="1:1" x14ac:dyDescent="0.3">
      <c r="A186" s="2">
        <v>41</v>
      </c>
    </row>
    <row r="187" spans="1:1" x14ac:dyDescent="0.3">
      <c r="A187" s="2">
        <v>35</v>
      </c>
    </row>
    <row r="188" spans="1:1" x14ac:dyDescent="0.3">
      <c r="A188" s="2">
        <v>37</v>
      </c>
    </row>
    <row r="189" spans="1:1" x14ac:dyDescent="0.3">
      <c r="A189" s="2">
        <v>34</v>
      </c>
    </row>
    <row r="190" spans="1:1" x14ac:dyDescent="0.3">
      <c r="A190" s="2">
        <v>46</v>
      </c>
    </row>
    <row r="191" spans="1:1" x14ac:dyDescent="0.3">
      <c r="A191" s="2">
        <v>30</v>
      </c>
    </row>
    <row r="192" spans="1:1" x14ac:dyDescent="0.3">
      <c r="A192" s="2">
        <v>39</v>
      </c>
    </row>
    <row r="193" spans="1:1" x14ac:dyDescent="0.3">
      <c r="A193" s="2">
        <v>43</v>
      </c>
    </row>
    <row r="194" spans="1:1" x14ac:dyDescent="0.3">
      <c r="A194" s="2">
        <v>28</v>
      </c>
    </row>
    <row r="195" spans="1:1" x14ac:dyDescent="0.3">
      <c r="A195" s="2">
        <v>32</v>
      </c>
    </row>
    <row r="196" spans="1:1" x14ac:dyDescent="0.3">
      <c r="A196" s="2">
        <v>36</v>
      </c>
    </row>
    <row r="197" spans="1:1" x14ac:dyDescent="0.3">
      <c r="A197" s="2">
        <v>29</v>
      </c>
    </row>
    <row r="198" spans="1:1" x14ac:dyDescent="0.3">
      <c r="A198" s="2">
        <v>31</v>
      </c>
    </row>
    <row r="199" spans="1:1" x14ac:dyDescent="0.3">
      <c r="A199" s="2">
        <v>37</v>
      </c>
    </row>
    <row r="200" spans="1:1" x14ac:dyDescent="0.3">
      <c r="A200" s="2">
        <v>40</v>
      </c>
    </row>
    <row r="201" spans="1:1" x14ac:dyDescent="0.3">
      <c r="A201" s="2">
        <v>42</v>
      </c>
    </row>
    <row r="202" spans="1:1" x14ac:dyDescent="0.3">
      <c r="A202" s="2">
        <v>33</v>
      </c>
    </row>
    <row r="203" spans="1:1" x14ac:dyDescent="0.3">
      <c r="A203" s="2">
        <v>39</v>
      </c>
    </row>
    <row r="204" spans="1:1" x14ac:dyDescent="0.3">
      <c r="A204" s="2">
        <v>28</v>
      </c>
    </row>
    <row r="205" spans="1:1" x14ac:dyDescent="0.3">
      <c r="A205" s="2">
        <v>35</v>
      </c>
    </row>
    <row r="206" spans="1:1" x14ac:dyDescent="0.3">
      <c r="A206" s="2">
        <v>38</v>
      </c>
    </row>
    <row r="207" spans="1:1" x14ac:dyDescent="0.3">
      <c r="A207" s="2">
        <v>43</v>
      </c>
    </row>
    <row r="209" spans="1:13" x14ac:dyDescent="0.3">
      <c r="A209" s="1" t="s">
        <v>134</v>
      </c>
      <c r="B209" s="1"/>
      <c r="C209" s="1"/>
      <c r="D209" s="1"/>
      <c r="E209" s="1"/>
      <c r="F209" s="1"/>
      <c r="G209" s="1"/>
      <c r="H209" s="1"/>
      <c r="I209" s="1"/>
      <c r="J209" s="1"/>
    </row>
    <row r="211" spans="1:13" x14ac:dyDescent="0.3">
      <c r="A211" s="1" t="s">
        <v>135</v>
      </c>
      <c r="B211" s="1"/>
      <c r="C211" s="1"/>
      <c r="D211" s="1"/>
      <c r="E211" s="1"/>
      <c r="F211" s="1"/>
      <c r="G211" s="1"/>
      <c r="H211" s="1"/>
      <c r="I211" s="1"/>
      <c r="J211" s="1"/>
    </row>
    <row r="213" spans="1:13" x14ac:dyDescent="0.3">
      <c r="A213" t="s">
        <v>136</v>
      </c>
      <c r="F213" t="s">
        <v>121</v>
      </c>
      <c r="M213" t="s">
        <v>122</v>
      </c>
    </row>
    <row r="214" spans="1:13" x14ac:dyDescent="0.3">
      <c r="A214" t="s">
        <v>137</v>
      </c>
    </row>
    <row r="215" spans="1:13" x14ac:dyDescent="0.3">
      <c r="A215" t="s">
        <v>138</v>
      </c>
    </row>
    <row r="216" spans="1:13" x14ac:dyDescent="0.3">
      <c r="A216" t="s">
        <v>139</v>
      </c>
    </row>
    <row r="217" spans="1:13" x14ac:dyDescent="0.3">
      <c r="A217" t="s">
        <v>138</v>
      </c>
    </row>
    <row r="218" spans="1:13" x14ac:dyDescent="0.3">
      <c r="A218" t="s">
        <v>139</v>
      </c>
    </row>
    <row r="219" spans="1:13" x14ac:dyDescent="0.3">
      <c r="A219" t="s">
        <v>138</v>
      </c>
    </row>
    <row r="220" spans="1:13" x14ac:dyDescent="0.3">
      <c r="A220" t="s">
        <v>139</v>
      </c>
    </row>
    <row r="221" spans="1:13" x14ac:dyDescent="0.3">
      <c r="A221" t="s">
        <v>138</v>
      </c>
    </row>
    <row r="222" spans="1:13" x14ac:dyDescent="0.3">
      <c r="A222" t="s">
        <v>140</v>
      </c>
    </row>
    <row r="224" spans="1:13" x14ac:dyDescent="0.3">
      <c r="A224" s="3" t="s">
        <v>141</v>
      </c>
      <c r="B224" s="6" t="s">
        <v>80</v>
      </c>
      <c r="C224" s="3" t="s">
        <v>106</v>
      </c>
    </row>
    <row r="225" spans="1:6" x14ac:dyDescent="0.3">
      <c r="A225" s="2">
        <v>125</v>
      </c>
      <c r="B225" s="5">
        <v>118</v>
      </c>
      <c r="C225" s="2">
        <f>COUNTIF($A$225:$A$324,$B225)</f>
        <v>1</v>
      </c>
    </row>
    <row r="226" spans="1:6" x14ac:dyDescent="0.3">
      <c r="A226" s="2">
        <v>148</v>
      </c>
      <c r="B226" s="5">
        <v>119</v>
      </c>
      <c r="C226" s="2">
        <f t="shared" ref="C226:C248" si="2">COUNTIF($A$225:$A$324,$B226)</f>
        <v>4</v>
      </c>
    </row>
    <row r="227" spans="1:6" x14ac:dyDescent="0.3">
      <c r="A227" s="2">
        <v>137</v>
      </c>
      <c r="B227" s="5">
        <v>120</v>
      </c>
      <c r="C227" s="2">
        <f t="shared" si="2"/>
        <v>1</v>
      </c>
    </row>
    <row r="228" spans="1:6" x14ac:dyDescent="0.3">
      <c r="A228" s="2">
        <v>120</v>
      </c>
      <c r="B228" s="5">
        <v>122</v>
      </c>
      <c r="C228" s="2">
        <f t="shared" si="2"/>
        <v>5</v>
      </c>
    </row>
    <row r="229" spans="1:6" x14ac:dyDescent="0.3">
      <c r="A229" s="2">
        <v>135</v>
      </c>
      <c r="B229" s="5">
        <v>123</v>
      </c>
      <c r="C229" s="2">
        <f t="shared" si="2"/>
        <v>1</v>
      </c>
    </row>
    <row r="230" spans="1:6" x14ac:dyDescent="0.3">
      <c r="A230" s="2">
        <v>132</v>
      </c>
      <c r="B230" s="5">
        <v>124</v>
      </c>
      <c r="C230" s="2">
        <f t="shared" si="2"/>
        <v>4</v>
      </c>
    </row>
    <row r="231" spans="1:6" x14ac:dyDescent="0.3">
      <c r="A231" s="2">
        <v>145</v>
      </c>
      <c r="B231" s="5">
        <v>125</v>
      </c>
      <c r="C231" s="2">
        <f t="shared" si="2"/>
        <v>10</v>
      </c>
    </row>
    <row r="232" spans="1:6" x14ac:dyDescent="0.3">
      <c r="A232" s="2">
        <v>122</v>
      </c>
      <c r="B232" s="5">
        <v>126</v>
      </c>
      <c r="C232" s="2">
        <f t="shared" si="2"/>
        <v>5</v>
      </c>
      <c r="F232" s="1" t="s">
        <v>14</v>
      </c>
    </row>
    <row r="233" spans="1:6" x14ac:dyDescent="0.3">
      <c r="A233" s="2">
        <v>130</v>
      </c>
      <c r="B233" s="5">
        <v>127</v>
      </c>
      <c r="C233" s="2">
        <f t="shared" si="2"/>
        <v>4</v>
      </c>
      <c r="F233">
        <f>MEDIAN(A225:A324)</f>
        <v>130.5</v>
      </c>
    </row>
    <row r="234" spans="1:6" x14ac:dyDescent="0.3">
      <c r="A234" s="2">
        <v>141</v>
      </c>
      <c r="B234" s="5">
        <v>128</v>
      </c>
      <c r="C234" s="2">
        <f t="shared" si="2"/>
        <v>5</v>
      </c>
    </row>
    <row r="235" spans="1:6" x14ac:dyDescent="0.3">
      <c r="A235" s="2">
        <v>118</v>
      </c>
      <c r="B235" s="5">
        <v>129</v>
      </c>
      <c r="C235" s="2">
        <f t="shared" si="2"/>
        <v>1</v>
      </c>
    </row>
    <row r="236" spans="1:6" x14ac:dyDescent="0.3">
      <c r="A236" s="2">
        <v>125</v>
      </c>
      <c r="B236" s="5">
        <v>130</v>
      </c>
      <c r="C236" s="2">
        <f t="shared" si="2"/>
        <v>9</v>
      </c>
    </row>
    <row r="237" spans="1:6" x14ac:dyDescent="0.3">
      <c r="A237" s="2">
        <v>132</v>
      </c>
      <c r="B237" s="5">
        <v>131</v>
      </c>
      <c r="C237" s="2">
        <f t="shared" si="2"/>
        <v>4</v>
      </c>
    </row>
    <row r="238" spans="1:6" x14ac:dyDescent="0.3">
      <c r="A238" s="2">
        <v>136</v>
      </c>
      <c r="B238" s="5">
        <v>132</v>
      </c>
      <c r="C238" s="2">
        <f t="shared" si="2"/>
        <v>7</v>
      </c>
    </row>
    <row r="239" spans="1:6" x14ac:dyDescent="0.3">
      <c r="A239" s="2">
        <v>128</v>
      </c>
      <c r="B239" s="5">
        <v>133</v>
      </c>
      <c r="C239" s="2">
        <f t="shared" si="2"/>
        <v>8</v>
      </c>
    </row>
    <row r="240" spans="1:6" x14ac:dyDescent="0.3">
      <c r="A240" s="2">
        <v>123</v>
      </c>
      <c r="B240" s="5">
        <v>134</v>
      </c>
      <c r="C240" s="2">
        <f t="shared" si="2"/>
        <v>4</v>
      </c>
    </row>
    <row r="241" spans="1:3" x14ac:dyDescent="0.3">
      <c r="A241" s="2">
        <v>132</v>
      </c>
      <c r="B241" s="5">
        <v>135</v>
      </c>
      <c r="C241" s="2">
        <f t="shared" si="2"/>
        <v>5</v>
      </c>
    </row>
    <row r="242" spans="1:3" x14ac:dyDescent="0.3">
      <c r="A242" s="2">
        <v>138</v>
      </c>
      <c r="B242" s="5">
        <v>136</v>
      </c>
      <c r="C242" s="2">
        <f t="shared" si="2"/>
        <v>9</v>
      </c>
    </row>
    <row r="243" spans="1:3" x14ac:dyDescent="0.3">
      <c r="A243" s="2">
        <v>126</v>
      </c>
      <c r="B243" s="5">
        <v>137</v>
      </c>
      <c r="C243" s="2">
        <f t="shared" si="2"/>
        <v>1</v>
      </c>
    </row>
    <row r="244" spans="1:3" x14ac:dyDescent="0.3">
      <c r="A244" s="2">
        <v>129</v>
      </c>
      <c r="B244" s="5">
        <v>138</v>
      </c>
      <c r="C244" s="2">
        <f t="shared" si="2"/>
        <v>1</v>
      </c>
    </row>
    <row r="245" spans="1:3" x14ac:dyDescent="0.3">
      <c r="A245" s="2">
        <v>136</v>
      </c>
      <c r="B245" s="5">
        <v>140</v>
      </c>
      <c r="C245" s="2">
        <f t="shared" si="2"/>
        <v>4</v>
      </c>
    </row>
    <row r="246" spans="1:3" x14ac:dyDescent="0.3">
      <c r="A246" s="2">
        <v>127</v>
      </c>
      <c r="B246" s="5">
        <v>141</v>
      </c>
      <c r="C246" s="2">
        <f t="shared" si="2"/>
        <v>5</v>
      </c>
    </row>
    <row r="247" spans="1:3" x14ac:dyDescent="0.3">
      <c r="A247" s="2">
        <v>130</v>
      </c>
      <c r="B247" s="5">
        <v>145</v>
      </c>
      <c r="C247" s="2">
        <f t="shared" si="2"/>
        <v>1</v>
      </c>
    </row>
    <row r="248" spans="1:3" x14ac:dyDescent="0.3">
      <c r="A248" s="2">
        <v>122</v>
      </c>
      <c r="B248" s="5">
        <v>148</v>
      </c>
      <c r="C248" s="2">
        <f t="shared" si="2"/>
        <v>1</v>
      </c>
    </row>
    <row r="249" spans="1:3" x14ac:dyDescent="0.3">
      <c r="A249" s="2">
        <v>125</v>
      </c>
    </row>
    <row r="250" spans="1:3" x14ac:dyDescent="0.3">
      <c r="A250" s="2">
        <v>133</v>
      </c>
    </row>
    <row r="251" spans="1:3" x14ac:dyDescent="0.3">
      <c r="A251" s="2">
        <v>140</v>
      </c>
    </row>
    <row r="252" spans="1:3" x14ac:dyDescent="0.3">
      <c r="A252" s="2">
        <v>126</v>
      </c>
    </row>
    <row r="253" spans="1:3" x14ac:dyDescent="0.3">
      <c r="A253" s="2">
        <v>133</v>
      </c>
    </row>
    <row r="254" spans="1:3" x14ac:dyDescent="0.3">
      <c r="A254" s="2">
        <v>135</v>
      </c>
    </row>
    <row r="255" spans="1:3" x14ac:dyDescent="0.3">
      <c r="A255" s="2">
        <v>130</v>
      </c>
    </row>
    <row r="256" spans="1:3" x14ac:dyDescent="0.3">
      <c r="A256" s="2">
        <v>134</v>
      </c>
    </row>
    <row r="257" spans="1:1" x14ac:dyDescent="0.3">
      <c r="A257" s="2">
        <v>141</v>
      </c>
    </row>
    <row r="258" spans="1:1" x14ac:dyDescent="0.3">
      <c r="A258" s="2">
        <v>119</v>
      </c>
    </row>
    <row r="259" spans="1:1" x14ac:dyDescent="0.3">
      <c r="A259" s="2">
        <v>125</v>
      </c>
    </row>
    <row r="260" spans="1:1" x14ac:dyDescent="0.3">
      <c r="A260" s="2">
        <v>131</v>
      </c>
    </row>
    <row r="261" spans="1:1" x14ac:dyDescent="0.3">
      <c r="A261" s="2">
        <v>136</v>
      </c>
    </row>
    <row r="262" spans="1:1" x14ac:dyDescent="0.3">
      <c r="A262" s="2">
        <v>128</v>
      </c>
    </row>
    <row r="263" spans="1:1" x14ac:dyDescent="0.3">
      <c r="A263" s="2">
        <v>124</v>
      </c>
    </row>
    <row r="264" spans="1:1" x14ac:dyDescent="0.3">
      <c r="A264" s="2">
        <v>132</v>
      </c>
    </row>
    <row r="265" spans="1:1" x14ac:dyDescent="0.3">
      <c r="A265" s="2">
        <v>136</v>
      </c>
    </row>
    <row r="266" spans="1:1" x14ac:dyDescent="0.3">
      <c r="A266" s="2">
        <v>127</v>
      </c>
    </row>
    <row r="267" spans="1:1" x14ac:dyDescent="0.3">
      <c r="A267" s="2">
        <v>130</v>
      </c>
    </row>
    <row r="268" spans="1:1" x14ac:dyDescent="0.3">
      <c r="A268" s="2">
        <v>122</v>
      </c>
    </row>
    <row r="269" spans="1:1" x14ac:dyDescent="0.3">
      <c r="A269" s="2">
        <v>125</v>
      </c>
    </row>
    <row r="270" spans="1:1" x14ac:dyDescent="0.3">
      <c r="A270" s="2">
        <v>133</v>
      </c>
    </row>
    <row r="271" spans="1:1" x14ac:dyDescent="0.3">
      <c r="A271" s="2">
        <v>140</v>
      </c>
    </row>
    <row r="272" spans="1:1" x14ac:dyDescent="0.3">
      <c r="A272" s="2">
        <v>126</v>
      </c>
    </row>
    <row r="273" spans="1:1" x14ac:dyDescent="0.3">
      <c r="A273" s="2">
        <v>133</v>
      </c>
    </row>
    <row r="274" spans="1:1" x14ac:dyDescent="0.3">
      <c r="A274" s="2">
        <v>135</v>
      </c>
    </row>
    <row r="275" spans="1:1" x14ac:dyDescent="0.3">
      <c r="A275" s="2">
        <v>130</v>
      </c>
    </row>
    <row r="276" spans="1:1" x14ac:dyDescent="0.3">
      <c r="A276" s="2">
        <v>134</v>
      </c>
    </row>
    <row r="277" spans="1:1" x14ac:dyDescent="0.3">
      <c r="A277" s="2">
        <v>141</v>
      </c>
    </row>
    <row r="278" spans="1:1" x14ac:dyDescent="0.3">
      <c r="A278" s="2">
        <v>119</v>
      </c>
    </row>
    <row r="279" spans="1:1" x14ac:dyDescent="0.3">
      <c r="A279" s="2">
        <v>125</v>
      </c>
    </row>
    <row r="280" spans="1:1" x14ac:dyDescent="0.3">
      <c r="A280" s="2">
        <v>131</v>
      </c>
    </row>
    <row r="281" spans="1:1" x14ac:dyDescent="0.3">
      <c r="A281" s="2">
        <v>136</v>
      </c>
    </row>
    <row r="282" spans="1:1" x14ac:dyDescent="0.3">
      <c r="A282" s="2">
        <v>128</v>
      </c>
    </row>
    <row r="283" spans="1:1" x14ac:dyDescent="0.3">
      <c r="A283" s="2">
        <v>124</v>
      </c>
    </row>
    <row r="284" spans="1:1" x14ac:dyDescent="0.3">
      <c r="A284" s="2">
        <v>132</v>
      </c>
    </row>
    <row r="285" spans="1:1" x14ac:dyDescent="0.3">
      <c r="A285" s="2">
        <v>136</v>
      </c>
    </row>
    <row r="286" spans="1:1" x14ac:dyDescent="0.3">
      <c r="A286" s="2">
        <v>127</v>
      </c>
    </row>
    <row r="287" spans="1:1" x14ac:dyDescent="0.3">
      <c r="A287" s="2">
        <v>130</v>
      </c>
    </row>
    <row r="288" spans="1:1" x14ac:dyDescent="0.3">
      <c r="A288" s="2">
        <v>122</v>
      </c>
    </row>
    <row r="289" spans="1:1" x14ac:dyDescent="0.3">
      <c r="A289" s="2">
        <v>125</v>
      </c>
    </row>
    <row r="290" spans="1:1" x14ac:dyDescent="0.3">
      <c r="A290" s="2">
        <v>133</v>
      </c>
    </row>
    <row r="291" spans="1:1" x14ac:dyDescent="0.3">
      <c r="A291" s="2">
        <v>140</v>
      </c>
    </row>
    <row r="292" spans="1:1" x14ac:dyDescent="0.3">
      <c r="A292" s="2">
        <v>126</v>
      </c>
    </row>
    <row r="293" spans="1:1" x14ac:dyDescent="0.3">
      <c r="A293" s="2">
        <v>133</v>
      </c>
    </row>
    <row r="294" spans="1:1" x14ac:dyDescent="0.3">
      <c r="A294" s="2">
        <v>135</v>
      </c>
    </row>
    <row r="295" spans="1:1" x14ac:dyDescent="0.3">
      <c r="A295" s="2">
        <v>130</v>
      </c>
    </row>
    <row r="296" spans="1:1" x14ac:dyDescent="0.3">
      <c r="A296" s="2">
        <v>134</v>
      </c>
    </row>
    <row r="297" spans="1:1" x14ac:dyDescent="0.3">
      <c r="A297" s="2">
        <v>141</v>
      </c>
    </row>
    <row r="298" spans="1:1" x14ac:dyDescent="0.3">
      <c r="A298" s="2">
        <v>119</v>
      </c>
    </row>
    <row r="299" spans="1:1" x14ac:dyDescent="0.3">
      <c r="A299" s="2">
        <v>125</v>
      </c>
    </row>
    <row r="300" spans="1:1" x14ac:dyDescent="0.3">
      <c r="A300" s="2">
        <v>131</v>
      </c>
    </row>
    <row r="301" spans="1:1" x14ac:dyDescent="0.3">
      <c r="A301" s="2">
        <v>136</v>
      </c>
    </row>
    <row r="302" spans="1:1" x14ac:dyDescent="0.3">
      <c r="A302" s="2">
        <v>128</v>
      </c>
    </row>
    <row r="303" spans="1:1" x14ac:dyDescent="0.3">
      <c r="A303" s="2">
        <v>124</v>
      </c>
    </row>
    <row r="304" spans="1:1" x14ac:dyDescent="0.3">
      <c r="A304" s="2">
        <v>132</v>
      </c>
    </row>
    <row r="305" spans="1:1" x14ac:dyDescent="0.3">
      <c r="A305" s="2">
        <v>136</v>
      </c>
    </row>
    <row r="306" spans="1:1" x14ac:dyDescent="0.3">
      <c r="A306" s="2">
        <v>127</v>
      </c>
    </row>
    <row r="307" spans="1:1" x14ac:dyDescent="0.3">
      <c r="A307" s="2">
        <v>130</v>
      </c>
    </row>
    <row r="308" spans="1:1" x14ac:dyDescent="0.3">
      <c r="A308" s="2">
        <v>122</v>
      </c>
    </row>
    <row r="309" spans="1:1" x14ac:dyDescent="0.3">
      <c r="A309" s="2">
        <v>125</v>
      </c>
    </row>
    <row r="310" spans="1:1" x14ac:dyDescent="0.3">
      <c r="A310" s="2">
        <v>133</v>
      </c>
    </row>
    <row r="311" spans="1:1" x14ac:dyDescent="0.3">
      <c r="A311" s="2">
        <v>140</v>
      </c>
    </row>
    <row r="312" spans="1:1" x14ac:dyDescent="0.3">
      <c r="A312" s="2">
        <v>126</v>
      </c>
    </row>
    <row r="313" spans="1:1" x14ac:dyDescent="0.3">
      <c r="A313" s="2">
        <v>133</v>
      </c>
    </row>
    <row r="314" spans="1:1" x14ac:dyDescent="0.3">
      <c r="A314" s="2">
        <v>135</v>
      </c>
    </row>
    <row r="315" spans="1:1" x14ac:dyDescent="0.3">
      <c r="A315" s="2">
        <v>130</v>
      </c>
    </row>
    <row r="316" spans="1:1" x14ac:dyDescent="0.3">
      <c r="A316" s="2">
        <v>134</v>
      </c>
    </row>
    <row r="317" spans="1:1" x14ac:dyDescent="0.3">
      <c r="A317" s="2">
        <v>141</v>
      </c>
    </row>
    <row r="318" spans="1:1" x14ac:dyDescent="0.3">
      <c r="A318" s="2">
        <v>119</v>
      </c>
    </row>
    <row r="319" spans="1:1" x14ac:dyDescent="0.3">
      <c r="A319" s="2">
        <v>125</v>
      </c>
    </row>
    <row r="320" spans="1:1" x14ac:dyDescent="0.3">
      <c r="A320" s="2">
        <v>131</v>
      </c>
    </row>
    <row r="321" spans="1:17" x14ac:dyDescent="0.3">
      <c r="A321" s="2">
        <v>136</v>
      </c>
    </row>
    <row r="322" spans="1:17" x14ac:dyDescent="0.3">
      <c r="A322" s="2">
        <v>128</v>
      </c>
    </row>
    <row r="323" spans="1:17" x14ac:dyDescent="0.3">
      <c r="A323" s="2">
        <v>124</v>
      </c>
    </row>
    <row r="324" spans="1:17" x14ac:dyDescent="0.3">
      <c r="A324" s="2">
        <v>132</v>
      </c>
    </row>
    <row r="326" spans="1:17" x14ac:dyDescent="0.3">
      <c r="A326" s="1" t="s">
        <v>142</v>
      </c>
      <c r="B326" s="1"/>
      <c r="C326" s="1"/>
      <c r="D326" s="1"/>
      <c r="E326" s="1"/>
      <c r="F326" s="1"/>
      <c r="G326" s="1"/>
      <c r="H326" s="1"/>
      <c r="I326" s="1"/>
    </row>
    <row r="328" spans="1:17" x14ac:dyDescent="0.3">
      <c r="A328" s="1" t="s">
        <v>143</v>
      </c>
      <c r="B328" s="1"/>
      <c r="C328" s="1"/>
      <c r="D328" s="1"/>
      <c r="E328" s="1"/>
      <c r="F328" s="1"/>
      <c r="G328" s="1"/>
      <c r="H328" s="1"/>
      <c r="I328" s="1"/>
    </row>
    <row r="330" spans="1:17" x14ac:dyDescent="0.3">
      <c r="A330" t="s">
        <v>144</v>
      </c>
      <c r="B330" t="s">
        <v>147</v>
      </c>
      <c r="F330" s="12" t="s">
        <v>107</v>
      </c>
      <c r="G330" s="12"/>
      <c r="H330" s="12"/>
      <c r="I330" s="12"/>
      <c r="J330" s="12"/>
      <c r="K330" s="12"/>
      <c r="L330" s="12"/>
      <c r="M330" s="12"/>
      <c r="O330" s="3" t="s">
        <v>7</v>
      </c>
      <c r="P330" s="3" t="s">
        <v>133</v>
      </c>
      <c r="Q330" s="3" t="s">
        <v>150</v>
      </c>
    </row>
    <row r="331" spans="1:17" x14ac:dyDescent="0.3">
      <c r="A331" t="s">
        <v>145</v>
      </c>
      <c r="B331" t="s">
        <v>148</v>
      </c>
      <c r="O331" s="2" t="s">
        <v>144</v>
      </c>
      <c r="P331" s="2">
        <f>AVERAGE(A$335:A$344)</f>
        <v>40.4</v>
      </c>
      <c r="Q331" s="2">
        <f>MAX(A$335:A$344) - MIN(A$335:A$344)</f>
        <v>10</v>
      </c>
    </row>
    <row r="332" spans="1:17" x14ac:dyDescent="0.3">
      <c r="A332" t="s">
        <v>146</v>
      </c>
      <c r="B332" t="s">
        <v>149</v>
      </c>
      <c r="O332" s="2" t="s">
        <v>145</v>
      </c>
      <c r="P332" s="2">
        <f>AVERAGE(B335:B344)</f>
        <v>32.5</v>
      </c>
      <c r="Q332" s="2">
        <f>MAX(B335:B344) - MIN(B335:B344)</f>
        <v>9</v>
      </c>
    </row>
    <row r="333" spans="1:17" x14ac:dyDescent="0.3">
      <c r="O333" s="2" t="s">
        <v>146</v>
      </c>
      <c r="P333" s="2">
        <f>AVERAGE(C335:C344)</f>
        <v>41</v>
      </c>
      <c r="Q333" s="2">
        <f>MAX(C335:C344) - MIN(C335:C344)</f>
        <v>8</v>
      </c>
    </row>
    <row r="334" spans="1:17" x14ac:dyDescent="0.3">
      <c r="A334" s="3" t="s">
        <v>144</v>
      </c>
      <c r="B334" s="3" t="s">
        <v>145</v>
      </c>
      <c r="C334" s="3" t="s">
        <v>146</v>
      </c>
    </row>
    <row r="335" spans="1:17" x14ac:dyDescent="0.3">
      <c r="A335" s="2">
        <v>45</v>
      </c>
      <c r="B335" s="2">
        <v>32</v>
      </c>
      <c r="C335" s="2">
        <v>40</v>
      </c>
    </row>
    <row r="336" spans="1:17" x14ac:dyDescent="0.3">
      <c r="A336" s="2">
        <v>35</v>
      </c>
      <c r="B336" s="2">
        <v>28</v>
      </c>
      <c r="C336" s="2">
        <v>39</v>
      </c>
    </row>
    <row r="337" spans="1:3" x14ac:dyDescent="0.3">
      <c r="A337" s="2">
        <v>40</v>
      </c>
      <c r="B337" s="2">
        <v>30</v>
      </c>
      <c r="C337" s="2">
        <v>42</v>
      </c>
    </row>
    <row r="338" spans="1:3" x14ac:dyDescent="0.3">
      <c r="A338" s="2">
        <v>38</v>
      </c>
      <c r="B338" s="2">
        <v>34</v>
      </c>
      <c r="C338" s="2">
        <v>41</v>
      </c>
    </row>
    <row r="339" spans="1:3" x14ac:dyDescent="0.3">
      <c r="A339" s="2">
        <v>42</v>
      </c>
      <c r="B339" s="2">
        <v>33</v>
      </c>
      <c r="C339" s="2">
        <v>38</v>
      </c>
    </row>
    <row r="340" spans="1:3" x14ac:dyDescent="0.3">
      <c r="A340" s="2">
        <v>37</v>
      </c>
      <c r="B340" s="2">
        <v>35</v>
      </c>
      <c r="C340" s="2">
        <v>43</v>
      </c>
    </row>
    <row r="341" spans="1:3" x14ac:dyDescent="0.3">
      <c r="A341" s="2">
        <v>39</v>
      </c>
      <c r="B341" s="2">
        <v>31</v>
      </c>
      <c r="C341" s="2">
        <v>45</v>
      </c>
    </row>
    <row r="342" spans="1:3" x14ac:dyDescent="0.3">
      <c r="A342" s="2">
        <v>43</v>
      </c>
      <c r="B342" s="2">
        <v>29</v>
      </c>
      <c r="C342" s="2">
        <v>44</v>
      </c>
    </row>
    <row r="343" spans="1:3" x14ac:dyDescent="0.3">
      <c r="A343" s="2">
        <v>44</v>
      </c>
      <c r="B343" s="2">
        <v>36</v>
      </c>
      <c r="C343" s="2">
        <v>41</v>
      </c>
    </row>
    <row r="344" spans="1:3" x14ac:dyDescent="0.3">
      <c r="A344" s="2">
        <v>41</v>
      </c>
      <c r="B344" s="2">
        <v>37</v>
      </c>
      <c r="C344" s="2">
        <v>37</v>
      </c>
    </row>
  </sheetData>
  <mergeCells count="7">
    <mergeCell ref="F330:M330"/>
    <mergeCell ref="D8:J8"/>
    <mergeCell ref="E44:K44"/>
    <mergeCell ref="M44:T44"/>
    <mergeCell ref="L8:S8"/>
    <mergeCell ref="E151:K151"/>
    <mergeCell ref="M151:T1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6147-690A-41F3-B852-666BB4F85130}">
  <dimension ref="A1:O108"/>
  <sheetViews>
    <sheetView workbookViewId="0">
      <selection activeCell="A110" sqref="A110"/>
    </sheetView>
  </sheetViews>
  <sheetFormatPr defaultRowHeight="14.4" x14ac:dyDescent="0.3"/>
  <cols>
    <col min="3" max="3" width="12.44140625" bestFit="1" customWidth="1"/>
    <col min="4" max="4" width="11.109375" bestFit="1" customWidth="1"/>
    <col min="12" max="12" width="12.44140625" bestFit="1" customWidth="1"/>
    <col min="13" max="13" width="11.109375" bestFit="1" customWidth="1"/>
  </cols>
  <sheetData>
    <row r="1" spans="1:15" x14ac:dyDescent="0.3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3">
      <c r="A3" s="1" t="s">
        <v>152</v>
      </c>
      <c r="B3" s="1"/>
      <c r="C3" s="1"/>
      <c r="D3" s="1"/>
      <c r="E3" s="1"/>
      <c r="F3" s="1"/>
      <c r="G3" s="1"/>
      <c r="H3" s="1"/>
    </row>
    <row r="5" spans="1:15" x14ac:dyDescent="0.3">
      <c r="A5" s="1" t="s">
        <v>153</v>
      </c>
    </row>
    <row r="6" spans="1:15" x14ac:dyDescent="0.3">
      <c r="A6" s="2">
        <v>-2.5</v>
      </c>
      <c r="B6" s="2">
        <v>1.3</v>
      </c>
      <c r="C6" s="2">
        <v>-0.8</v>
      </c>
      <c r="D6" s="2">
        <v>-1.9</v>
      </c>
      <c r="E6" s="2">
        <v>2.1</v>
      </c>
      <c r="F6" s="2">
        <v>0.5</v>
      </c>
      <c r="G6" s="2">
        <v>-1.2</v>
      </c>
      <c r="H6" s="2">
        <v>1.8</v>
      </c>
      <c r="I6" s="2">
        <v>-0.5</v>
      </c>
      <c r="J6" s="2">
        <v>2.2999999999999998</v>
      </c>
      <c r="L6" s="3" t="s">
        <v>154</v>
      </c>
      <c r="M6" s="3" t="s">
        <v>155</v>
      </c>
    </row>
    <row r="7" spans="1:15" x14ac:dyDescent="0.3">
      <c r="A7" s="2">
        <v>-0.7</v>
      </c>
      <c r="B7" s="2">
        <v>1.2</v>
      </c>
      <c r="C7" s="2">
        <v>-1.5</v>
      </c>
      <c r="D7" s="2">
        <v>-0.3</v>
      </c>
      <c r="E7" s="2">
        <v>2.6</v>
      </c>
      <c r="F7" s="2">
        <v>1.1000000000000001</v>
      </c>
      <c r="G7" s="2">
        <v>-1.7</v>
      </c>
      <c r="H7" s="2">
        <v>0.9</v>
      </c>
      <c r="I7" s="2">
        <v>-1.4</v>
      </c>
      <c r="J7" s="2">
        <v>0.3</v>
      </c>
      <c r="L7" s="8">
        <f>_xlfn.SKEW.P(A6:J10)</f>
        <v>5.2895806034817562E-2</v>
      </c>
      <c r="M7" s="8">
        <f>KURT(A6:J10)</f>
        <v>-1.3042496425917365</v>
      </c>
    </row>
    <row r="8" spans="1:15" x14ac:dyDescent="0.3">
      <c r="A8" s="2">
        <v>1.9</v>
      </c>
      <c r="B8" s="2">
        <v>-1.1000000000000001</v>
      </c>
      <c r="C8" s="2">
        <v>-0.4</v>
      </c>
      <c r="D8" s="2">
        <v>2.2000000000000002</v>
      </c>
      <c r="E8" s="2">
        <v>-0.9</v>
      </c>
      <c r="F8" s="2">
        <v>1.6</v>
      </c>
      <c r="G8" s="2">
        <v>-0.6</v>
      </c>
      <c r="H8" s="2">
        <v>-1.3</v>
      </c>
      <c r="I8" s="2">
        <v>2.4</v>
      </c>
      <c r="J8" s="2">
        <v>0.7</v>
      </c>
    </row>
    <row r="9" spans="1:15" x14ac:dyDescent="0.3">
      <c r="A9" s="2">
        <v>-1.8</v>
      </c>
      <c r="B9" s="2">
        <v>1.5</v>
      </c>
      <c r="C9" s="2">
        <v>-0.2</v>
      </c>
      <c r="D9" s="2">
        <v>-2.1</v>
      </c>
      <c r="E9" s="2">
        <v>2.8</v>
      </c>
      <c r="F9" s="2">
        <v>0.8</v>
      </c>
      <c r="G9" s="2">
        <v>-1.6</v>
      </c>
      <c r="H9" s="2">
        <v>1.4</v>
      </c>
      <c r="I9" s="2">
        <v>-0.1</v>
      </c>
      <c r="J9" s="2">
        <v>2.5</v>
      </c>
    </row>
    <row r="10" spans="1:15" x14ac:dyDescent="0.3">
      <c r="A10" s="2">
        <v>-1</v>
      </c>
      <c r="B10" s="2">
        <v>1.7</v>
      </c>
      <c r="C10" s="2">
        <v>-0.9</v>
      </c>
      <c r="D10" s="2">
        <v>-2</v>
      </c>
      <c r="E10" s="2">
        <v>2.7</v>
      </c>
      <c r="F10" s="2">
        <v>0.6</v>
      </c>
      <c r="G10" s="2">
        <v>-1.4</v>
      </c>
      <c r="H10" s="2">
        <v>1.1000000000000001</v>
      </c>
      <c r="I10" s="2">
        <v>-0.3</v>
      </c>
      <c r="J10" s="2">
        <v>2</v>
      </c>
    </row>
    <row r="12" spans="1:15" x14ac:dyDescent="0.3">
      <c r="A12" s="1" t="s">
        <v>156</v>
      </c>
      <c r="B12" s="1"/>
      <c r="C12" s="1"/>
      <c r="D12" s="1"/>
      <c r="E12" s="1"/>
      <c r="F12" s="1"/>
      <c r="G12" s="1"/>
      <c r="H12" s="1"/>
      <c r="I12" s="1"/>
      <c r="J12" s="1"/>
    </row>
    <row r="13" spans="1:15" x14ac:dyDescent="0.3">
      <c r="A13" s="1" t="s">
        <v>159</v>
      </c>
      <c r="B13" s="1"/>
      <c r="C13" s="1"/>
      <c r="D13" s="1"/>
      <c r="E13" s="1"/>
      <c r="F13" s="1"/>
      <c r="G13" s="1"/>
      <c r="H13" s="1"/>
      <c r="I13" s="1"/>
      <c r="J13" s="1"/>
    </row>
    <row r="14" spans="1:15" x14ac:dyDescent="0.3">
      <c r="B14" t="s">
        <v>158</v>
      </c>
    </row>
    <row r="16" spans="1:15" x14ac:dyDescent="0.3">
      <c r="B16" t="s">
        <v>157</v>
      </c>
    </row>
    <row r="18" spans="1:13" x14ac:dyDescent="0.3">
      <c r="A18" s="1" t="s">
        <v>160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20" spans="1:13" x14ac:dyDescent="0.3">
      <c r="A20" s="1" t="s">
        <v>161</v>
      </c>
      <c r="B20" s="1"/>
      <c r="C20" s="1"/>
      <c r="D20" s="1"/>
      <c r="E20" s="1"/>
      <c r="F20" s="1"/>
      <c r="G20" s="1"/>
      <c r="H20" s="1"/>
      <c r="I20" s="1"/>
    </row>
    <row r="22" spans="1:13" x14ac:dyDescent="0.3">
      <c r="A22" s="1" t="s">
        <v>162</v>
      </c>
      <c r="L22" s="3" t="s">
        <v>154</v>
      </c>
      <c r="M22" s="3" t="s">
        <v>155</v>
      </c>
    </row>
    <row r="23" spans="1:13" x14ac:dyDescent="0.3">
      <c r="A23" s="2">
        <v>2.5</v>
      </c>
      <c r="B23" s="2">
        <v>4.8</v>
      </c>
      <c r="C23" s="2">
        <v>3.2</v>
      </c>
      <c r="D23" s="2">
        <v>2.1</v>
      </c>
      <c r="E23" s="2">
        <v>4.5</v>
      </c>
      <c r="F23" s="2">
        <v>2.9</v>
      </c>
      <c r="G23" s="2">
        <v>2.2999999999999998</v>
      </c>
      <c r="H23" s="2">
        <v>3.1</v>
      </c>
      <c r="I23" s="2">
        <v>4.2</v>
      </c>
      <c r="J23" s="2">
        <v>3.9</v>
      </c>
      <c r="L23" s="4">
        <f>SKEW(A23:J32)</f>
        <v>0.22402536454542335</v>
      </c>
      <c r="M23" s="4">
        <f>KURT(A23:J32)</f>
        <v>-0.93120912452529181</v>
      </c>
    </row>
    <row r="24" spans="1:13" x14ac:dyDescent="0.3">
      <c r="A24" s="2">
        <v>2.8</v>
      </c>
      <c r="B24" s="2">
        <v>4.0999999999999996</v>
      </c>
      <c r="C24" s="2">
        <v>2.6</v>
      </c>
      <c r="D24" s="2">
        <v>2.4</v>
      </c>
      <c r="E24" s="2">
        <v>4.7</v>
      </c>
      <c r="F24" s="2">
        <v>3.3</v>
      </c>
      <c r="G24" s="2">
        <v>2.7</v>
      </c>
      <c r="H24" s="2">
        <v>3</v>
      </c>
      <c r="I24" s="2">
        <v>4.3</v>
      </c>
      <c r="J24" s="2">
        <v>3.7</v>
      </c>
    </row>
    <row r="25" spans="1:13" x14ac:dyDescent="0.3">
      <c r="A25" s="2">
        <v>2.2000000000000002</v>
      </c>
      <c r="B25" s="2">
        <v>3.6</v>
      </c>
      <c r="C25" s="2">
        <v>4</v>
      </c>
      <c r="D25" s="2">
        <v>2.7</v>
      </c>
      <c r="E25" s="2">
        <v>3.8</v>
      </c>
      <c r="F25" s="2">
        <v>3.5</v>
      </c>
      <c r="G25" s="2">
        <v>3.2</v>
      </c>
      <c r="H25" s="2">
        <v>4.4000000000000004</v>
      </c>
      <c r="I25" s="2">
        <v>2</v>
      </c>
      <c r="J25" s="2">
        <v>3.4</v>
      </c>
    </row>
    <row r="26" spans="1:13" x14ac:dyDescent="0.3">
      <c r="A26" s="2">
        <v>3.1</v>
      </c>
      <c r="B26" s="2">
        <v>2.9</v>
      </c>
      <c r="C26" s="2">
        <v>4.5999999999999996</v>
      </c>
      <c r="D26" s="2">
        <v>3.3</v>
      </c>
      <c r="E26" s="2">
        <v>2.5</v>
      </c>
      <c r="F26" s="2">
        <v>4.9000000000000004</v>
      </c>
      <c r="G26" s="2">
        <v>2.8</v>
      </c>
      <c r="H26" s="2">
        <v>3</v>
      </c>
      <c r="I26" s="2">
        <v>4.2</v>
      </c>
      <c r="J26" s="2">
        <v>3.9</v>
      </c>
    </row>
    <row r="27" spans="1:13" x14ac:dyDescent="0.3">
      <c r="A27" s="2">
        <v>2.8</v>
      </c>
      <c r="B27" s="2">
        <v>4.0999999999999996</v>
      </c>
      <c r="C27" s="2">
        <v>2.6</v>
      </c>
      <c r="D27" s="2">
        <v>2.4</v>
      </c>
      <c r="E27" s="2">
        <v>4.7</v>
      </c>
      <c r="F27" s="2">
        <v>3.3</v>
      </c>
      <c r="G27" s="2">
        <v>2.7</v>
      </c>
      <c r="H27" s="2">
        <v>3</v>
      </c>
      <c r="I27" s="2">
        <v>4.3</v>
      </c>
      <c r="J27" s="2">
        <v>3.7</v>
      </c>
    </row>
    <row r="28" spans="1:13" x14ac:dyDescent="0.3">
      <c r="A28" s="2">
        <v>2.2000000000000002</v>
      </c>
      <c r="B28" s="2">
        <v>3.6</v>
      </c>
      <c r="C28" s="2">
        <v>4</v>
      </c>
      <c r="D28" s="2">
        <v>2.7</v>
      </c>
      <c r="E28" s="2">
        <v>3.8</v>
      </c>
      <c r="F28" s="2">
        <v>3.5</v>
      </c>
      <c r="G28" s="2">
        <v>3.2</v>
      </c>
      <c r="H28" s="2">
        <v>4.4000000000000004</v>
      </c>
      <c r="I28" s="2">
        <v>2</v>
      </c>
      <c r="J28" s="2">
        <v>3.4</v>
      </c>
    </row>
    <row r="29" spans="1:13" x14ac:dyDescent="0.3">
      <c r="A29" s="2">
        <v>3.1</v>
      </c>
      <c r="B29" s="2">
        <v>2.9</v>
      </c>
      <c r="C29" s="2">
        <v>4.5999999999999996</v>
      </c>
      <c r="D29" s="2">
        <v>3.3</v>
      </c>
      <c r="E29" s="2">
        <v>2.5</v>
      </c>
      <c r="F29" s="2">
        <v>4.9000000000000004</v>
      </c>
      <c r="G29" s="2">
        <v>2.8</v>
      </c>
      <c r="H29" s="2">
        <v>3</v>
      </c>
      <c r="I29" s="2">
        <v>4.2</v>
      </c>
      <c r="J29" s="2">
        <v>3.9</v>
      </c>
    </row>
    <row r="30" spans="1:13" x14ac:dyDescent="0.3">
      <c r="A30" s="2">
        <v>2.8</v>
      </c>
      <c r="B30" s="2">
        <v>4.0999999999999996</v>
      </c>
      <c r="C30" s="2">
        <v>2.6</v>
      </c>
      <c r="D30" s="2">
        <v>2.4</v>
      </c>
      <c r="E30" s="2">
        <v>4.7</v>
      </c>
      <c r="F30" s="2">
        <v>3.3</v>
      </c>
      <c r="G30" s="2">
        <v>2.7</v>
      </c>
      <c r="H30" s="2">
        <v>3</v>
      </c>
      <c r="I30" s="2">
        <v>4.3</v>
      </c>
      <c r="J30" s="2">
        <v>3.7</v>
      </c>
    </row>
    <row r="31" spans="1:13" x14ac:dyDescent="0.3">
      <c r="A31" s="2">
        <v>2.2000000000000002</v>
      </c>
      <c r="B31" s="2">
        <v>3.6</v>
      </c>
      <c r="C31" s="2">
        <v>4</v>
      </c>
      <c r="D31" s="2">
        <v>2.7</v>
      </c>
      <c r="E31" s="2">
        <v>3.8</v>
      </c>
      <c r="F31" s="2">
        <v>3.5</v>
      </c>
      <c r="G31" s="2">
        <v>3.2</v>
      </c>
      <c r="H31" s="2">
        <v>4.4000000000000004</v>
      </c>
      <c r="I31" s="2">
        <v>2</v>
      </c>
      <c r="J31" s="2">
        <v>3.4</v>
      </c>
    </row>
    <row r="32" spans="1:13" x14ac:dyDescent="0.3">
      <c r="A32" s="2">
        <v>3.1</v>
      </c>
      <c r="B32" s="2">
        <v>2.9</v>
      </c>
      <c r="C32" s="2">
        <v>4.5999999999999996</v>
      </c>
      <c r="D32" s="2">
        <v>3.3</v>
      </c>
      <c r="E32" s="2">
        <v>2.5</v>
      </c>
      <c r="F32" s="2">
        <v>4.9000000000000004</v>
      </c>
      <c r="G32" s="2"/>
      <c r="H32" s="2"/>
      <c r="I32" s="2"/>
      <c r="J32" s="2"/>
    </row>
    <row r="34" spans="1:13" x14ac:dyDescent="0.3">
      <c r="A34" s="1" t="s">
        <v>163</v>
      </c>
      <c r="B34" s="1"/>
      <c r="C34" s="1"/>
      <c r="D34" s="1"/>
      <c r="E34" s="1"/>
      <c r="F34" s="1"/>
      <c r="G34" s="1"/>
      <c r="H34" s="1"/>
      <c r="I34" s="1"/>
      <c r="J34" s="1"/>
    </row>
    <row r="35" spans="1:13" x14ac:dyDescent="0.3">
      <c r="A35" s="1" t="s">
        <v>159</v>
      </c>
    </row>
    <row r="36" spans="1:13" x14ac:dyDescent="0.3">
      <c r="B36" t="s">
        <v>164</v>
      </c>
    </row>
    <row r="38" spans="1:13" x14ac:dyDescent="0.3">
      <c r="B38" t="s">
        <v>165</v>
      </c>
    </row>
    <row r="40" spans="1:13" x14ac:dyDescent="0.3">
      <c r="A40" s="1" t="s">
        <v>166</v>
      </c>
      <c r="B40" s="1"/>
      <c r="C40" s="1"/>
      <c r="D40" s="1"/>
      <c r="E40" s="1"/>
      <c r="F40" s="1"/>
      <c r="G40" s="1"/>
      <c r="H40" s="1"/>
      <c r="I40" s="1"/>
      <c r="J40" s="1"/>
      <c r="K40" s="1"/>
    </row>
    <row r="42" spans="1:13" x14ac:dyDescent="0.3">
      <c r="A42" s="1" t="s">
        <v>167</v>
      </c>
      <c r="B42" s="1"/>
      <c r="C42" s="1"/>
      <c r="D42" s="1"/>
      <c r="E42" s="1"/>
      <c r="F42" s="1"/>
    </row>
    <row r="44" spans="1:13" x14ac:dyDescent="0.3">
      <c r="A44" s="1" t="s">
        <v>168</v>
      </c>
    </row>
    <row r="45" spans="1:13" x14ac:dyDescent="0.3">
      <c r="A45" s="2">
        <v>4</v>
      </c>
      <c r="B45" s="2">
        <v>5</v>
      </c>
      <c r="C45" s="2">
        <v>3</v>
      </c>
      <c r="D45" s="2">
        <v>4</v>
      </c>
      <c r="E45" s="2">
        <v>4</v>
      </c>
      <c r="F45" s="2">
        <v>3</v>
      </c>
      <c r="G45" s="2">
        <v>2</v>
      </c>
      <c r="H45" s="2">
        <v>5</v>
      </c>
      <c r="I45" s="2">
        <v>4</v>
      </c>
      <c r="J45" s="2">
        <v>3</v>
      </c>
      <c r="L45" s="1" t="s">
        <v>154</v>
      </c>
      <c r="M45" s="1" t="s">
        <v>155</v>
      </c>
    </row>
    <row r="46" spans="1:13" x14ac:dyDescent="0.3">
      <c r="A46" s="2">
        <v>5</v>
      </c>
      <c r="B46" s="2">
        <v>4</v>
      </c>
      <c r="C46" s="2">
        <v>2</v>
      </c>
      <c r="D46" s="2">
        <v>3</v>
      </c>
      <c r="E46" s="2">
        <v>4</v>
      </c>
      <c r="F46" s="2">
        <v>5</v>
      </c>
      <c r="G46" s="2">
        <v>3</v>
      </c>
      <c r="H46" s="2">
        <v>4</v>
      </c>
      <c r="I46" s="2">
        <v>5</v>
      </c>
      <c r="J46" s="2">
        <v>3</v>
      </c>
      <c r="L46" s="7">
        <f>SKEW(A45:J54)</f>
        <v>-0.21090973977304461</v>
      </c>
      <c r="M46" s="7">
        <f>KURT(A45:J54)</f>
        <v>-0.74525627211662515</v>
      </c>
    </row>
    <row r="47" spans="1:13" x14ac:dyDescent="0.3">
      <c r="A47" s="2">
        <v>4</v>
      </c>
      <c r="B47" s="2">
        <v>3</v>
      </c>
      <c r="C47" s="2">
        <v>2</v>
      </c>
      <c r="D47" s="2">
        <v>4</v>
      </c>
      <c r="E47" s="2">
        <v>5</v>
      </c>
      <c r="F47" s="2">
        <v>3</v>
      </c>
      <c r="G47" s="2">
        <v>4</v>
      </c>
      <c r="H47" s="2">
        <v>5</v>
      </c>
      <c r="I47" s="2">
        <v>4</v>
      </c>
      <c r="J47" s="2">
        <v>3</v>
      </c>
    </row>
    <row r="48" spans="1:13" x14ac:dyDescent="0.3">
      <c r="A48" s="2">
        <v>3</v>
      </c>
      <c r="B48" s="2">
        <v>4</v>
      </c>
      <c r="C48" s="2">
        <v>5</v>
      </c>
      <c r="D48" s="2">
        <v>2</v>
      </c>
      <c r="E48" s="2">
        <v>3</v>
      </c>
      <c r="F48" s="2">
        <v>4</v>
      </c>
      <c r="G48" s="2">
        <v>4</v>
      </c>
      <c r="H48" s="2">
        <v>3</v>
      </c>
      <c r="I48" s="2">
        <v>5</v>
      </c>
      <c r="J48" s="2">
        <v>4</v>
      </c>
    </row>
    <row r="49" spans="1:11" x14ac:dyDescent="0.3">
      <c r="A49" s="2">
        <v>3</v>
      </c>
      <c r="B49" s="2">
        <v>4</v>
      </c>
      <c r="C49" s="2">
        <v>5</v>
      </c>
      <c r="D49" s="2">
        <v>4</v>
      </c>
      <c r="E49" s="2">
        <v>2</v>
      </c>
      <c r="F49" s="2">
        <v>3</v>
      </c>
      <c r="G49" s="2">
        <v>4</v>
      </c>
      <c r="H49" s="2">
        <v>5</v>
      </c>
      <c r="I49" s="2">
        <v>3</v>
      </c>
      <c r="J49" s="2">
        <v>4</v>
      </c>
    </row>
    <row r="50" spans="1:11" x14ac:dyDescent="0.3">
      <c r="A50" s="2">
        <v>5</v>
      </c>
      <c r="B50" s="2">
        <v>4</v>
      </c>
      <c r="C50" s="2">
        <v>3</v>
      </c>
      <c r="D50" s="2">
        <v>4</v>
      </c>
      <c r="E50" s="2">
        <v>5</v>
      </c>
      <c r="F50" s="2">
        <v>3</v>
      </c>
      <c r="G50" s="2">
        <v>4</v>
      </c>
      <c r="H50" s="2">
        <v>5</v>
      </c>
      <c r="I50" s="2">
        <v>4</v>
      </c>
      <c r="J50" s="2">
        <v>3</v>
      </c>
    </row>
    <row r="51" spans="1:11" x14ac:dyDescent="0.3">
      <c r="A51" s="2">
        <v>3</v>
      </c>
      <c r="B51" s="2">
        <v>4</v>
      </c>
      <c r="C51" s="2">
        <v>5</v>
      </c>
      <c r="D51" s="2">
        <v>2</v>
      </c>
      <c r="E51" s="2">
        <v>3</v>
      </c>
      <c r="F51" s="2">
        <v>4</v>
      </c>
      <c r="G51" s="2">
        <v>4</v>
      </c>
      <c r="H51" s="2">
        <v>3</v>
      </c>
      <c r="I51" s="2">
        <v>5</v>
      </c>
      <c r="J51" s="2">
        <v>4</v>
      </c>
    </row>
    <row r="52" spans="1:11" x14ac:dyDescent="0.3">
      <c r="A52" s="2">
        <v>3</v>
      </c>
      <c r="B52" s="2">
        <v>4</v>
      </c>
      <c r="C52" s="2">
        <v>5</v>
      </c>
      <c r="D52" s="2">
        <v>4</v>
      </c>
      <c r="E52" s="2">
        <v>2</v>
      </c>
      <c r="F52" s="2">
        <v>3</v>
      </c>
      <c r="G52" s="2">
        <v>4</v>
      </c>
      <c r="H52" s="2">
        <v>5</v>
      </c>
      <c r="I52" s="2">
        <v>3</v>
      </c>
      <c r="J52" s="2">
        <v>4</v>
      </c>
    </row>
    <row r="53" spans="1:11" x14ac:dyDescent="0.3">
      <c r="A53" s="2">
        <v>5</v>
      </c>
      <c r="B53" s="2">
        <v>4</v>
      </c>
      <c r="C53" s="2">
        <v>3</v>
      </c>
      <c r="D53" s="2">
        <v>4</v>
      </c>
      <c r="E53" s="2">
        <v>5</v>
      </c>
      <c r="F53" s="2">
        <v>3</v>
      </c>
      <c r="G53" s="2">
        <v>4</v>
      </c>
      <c r="H53" s="2">
        <v>5</v>
      </c>
      <c r="I53" s="2">
        <v>4</v>
      </c>
      <c r="J53" s="2">
        <v>3</v>
      </c>
    </row>
    <row r="54" spans="1:11" x14ac:dyDescent="0.3">
      <c r="A54" s="2">
        <v>3</v>
      </c>
      <c r="B54" s="2">
        <v>4</v>
      </c>
      <c r="C54" s="2">
        <v>5</v>
      </c>
      <c r="D54" s="2">
        <v>2</v>
      </c>
      <c r="E54" s="2">
        <v>3</v>
      </c>
      <c r="F54" s="2">
        <v>4</v>
      </c>
      <c r="G54" s="2">
        <v>4</v>
      </c>
      <c r="H54" s="2">
        <v>3</v>
      </c>
      <c r="I54" s="2">
        <v>5</v>
      </c>
      <c r="J54" s="2">
        <v>4</v>
      </c>
    </row>
    <row r="56" spans="1:11" x14ac:dyDescent="0.3">
      <c r="A56" s="1" t="s">
        <v>169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159</v>
      </c>
    </row>
    <row r="58" spans="1:11" x14ac:dyDescent="0.3">
      <c r="B58" t="s">
        <v>170</v>
      </c>
    </row>
    <row r="60" spans="1:11" x14ac:dyDescent="0.3">
      <c r="B60" t="s">
        <v>171</v>
      </c>
    </row>
    <row r="62" spans="1:11" x14ac:dyDescent="0.3">
      <c r="A62" s="1" t="s">
        <v>172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4" spans="1:11" x14ac:dyDescent="0.3">
      <c r="A64" s="1" t="s">
        <v>173</v>
      </c>
      <c r="B64" s="1"/>
      <c r="C64" s="1"/>
      <c r="D64" s="1"/>
      <c r="E64" s="1"/>
      <c r="F64" s="1"/>
      <c r="G64" s="1"/>
      <c r="H64" s="1"/>
    </row>
    <row r="66" spans="1:13" x14ac:dyDescent="0.3">
      <c r="A66" s="1" t="s">
        <v>174</v>
      </c>
      <c r="B66" s="1"/>
      <c r="L66" s="3" t="s">
        <v>154</v>
      </c>
      <c r="M66" s="3" t="s">
        <v>155</v>
      </c>
    </row>
    <row r="67" spans="1:13" x14ac:dyDescent="0.3">
      <c r="A67" s="2">
        <v>280</v>
      </c>
      <c r="B67" s="2">
        <v>350</v>
      </c>
      <c r="C67" s="2">
        <v>310</v>
      </c>
      <c r="D67" s="2">
        <v>270</v>
      </c>
      <c r="E67" s="2">
        <v>390</v>
      </c>
      <c r="F67" s="2">
        <v>320</v>
      </c>
      <c r="G67" s="2">
        <v>290</v>
      </c>
      <c r="H67" s="2">
        <v>340</v>
      </c>
      <c r="I67" s="2">
        <v>310</v>
      </c>
      <c r="J67" s="2">
        <v>380</v>
      </c>
      <c r="L67" s="4">
        <f>SKEW(A67:J76)</f>
        <v>0.2092186247974063</v>
      </c>
      <c r="M67" s="4">
        <f>KURT(A67:J76)</f>
        <v>-1.0374244845101974</v>
      </c>
    </row>
    <row r="68" spans="1:13" x14ac:dyDescent="0.3">
      <c r="A68" s="2">
        <v>270</v>
      </c>
      <c r="B68" s="2">
        <v>350</v>
      </c>
      <c r="C68" s="2">
        <v>300</v>
      </c>
      <c r="D68" s="2">
        <v>330</v>
      </c>
      <c r="E68" s="2">
        <v>370</v>
      </c>
      <c r="F68" s="2">
        <v>310</v>
      </c>
      <c r="G68" s="2">
        <v>280</v>
      </c>
      <c r="H68" s="2">
        <v>320</v>
      </c>
      <c r="I68" s="2">
        <v>350</v>
      </c>
      <c r="J68" s="2">
        <v>290</v>
      </c>
    </row>
    <row r="69" spans="1:13" x14ac:dyDescent="0.3">
      <c r="A69" s="2">
        <v>270</v>
      </c>
      <c r="B69" s="2">
        <v>350</v>
      </c>
      <c r="C69" s="2">
        <v>300</v>
      </c>
      <c r="D69" s="2">
        <v>330</v>
      </c>
      <c r="E69" s="2">
        <v>370</v>
      </c>
      <c r="F69" s="2">
        <v>310</v>
      </c>
      <c r="G69" s="2">
        <v>280</v>
      </c>
      <c r="H69" s="2">
        <v>320</v>
      </c>
      <c r="I69" s="2">
        <v>350</v>
      </c>
      <c r="J69" s="2">
        <v>290</v>
      </c>
    </row>
    <row r="70" spans="1:13" x14ac:dyDescent="0.3">
      <c r="A70" s="2">
        <v>270</v>
      </c>
      <c r="B70" s="2">
        <v>350</v>
      </c>
      <c r="C70" s="2">
        <v>300</v>
      </c>
      <c r="D70" s="2">
        <v>330</v>
      </c>
      <c r="E70" s="2">
        <v>370</v>
      </c>
      <c r="F70" s="2">
        <v>310</v>
      </c>
      <c r="G70" s="2">
        <v>280</v>
      </c>
      <c r="H70" s="2">
        <v>320</v>
      </c>
      <c r="I70" s="2">
        <v>350</v>
      </c>
      <c r="J70" s="2">
        <v>290</v>
      </c>
    </row>
    <row r="71" spans="1:13" x14ac:dyDescent="0.3">
      <c r="A71" s="2">
        <v>270</v>
      </c>
      <c r="B71" s="2">
        <v>350</v>
      </c>
      <c r="C71" s="2">
        <v>300</v>
      </c>
      <c r="D71" s="2">
        <v>330</v>
      </c>
      <c r="E71" s="2">
        <v>370</v>
      </c>
      <c r="F71" s="2">
        <v>310</v>
      </c>
      <c r="G71" s="2">
        <v>280</v>
      </c>
      <c r="H71" s="2">
        <v>320</v>
      </c>
      <c r="I71" s="2">
        <v>350</v>
      </c>
      <c r="J71" s="2">
        <v>290</v>
      </c>
    </row>
    <row r="72" spans="1:13" x14ac:dyDescent="0.3">
      <c r="A72" s="2">
        <v>270</v>
      </c>
      <c r="B72" s="2">
        <v>350</v>
      </c>
      <c r="C72" s="2">
        <v>300</v>
      </c>
      <c r="D72" s="2">
        <v>330</v>
      </c>
      <c r="E72" s="2">
        <v>370</v>
      </c>
      <c r="F72" s="2">
        <v>310</v>
      </c>
      <c r="G72" s="2">
        <v>280</v>
      </c>
      <c r="H72" s="2">
        <v>320</v>
      </c>
      <c r="I72" s="2">
        <v>350</v>
      </c>
      <c r="J72" s="2">
        <v>290</v>
      </c>
    </row>
    <row r="73" spans="1:13" x14ac:dyDescent="0.3">
      <c r="A73" s="2">
        <v>270</v>
      </c>
      <c r="B73" s="2">
        <v>350</v>
      </c>
      <c r="C73" s="2">
        <v>300</v>
      </c>
      <c r="D73" s="2">
        <v>330</v>
      </c>
      <c r="E73" s="2">
        <v>370</v>
      </c>
      <c r="F73" s="2">
        <v>310</v>
      </c>
      <c r="G73" s="2">
        <v>280</v>
      </c>
      <c r="H73" s="2">
        <v>320</v>
      </c>
      <c r="I73" s="2">
        <v>350</v>
      </c>
      <c r="J73" s="2">
        <v>290</v>
      </c>
    </row>
    <row r="74" spans="1:13" x14ac:dyDescent="0.3">
      <c r="A74" s="2">
        <v>270</v>
      </c>
      <c r="B74" s="2">
        <v>350</v>
      </c>
      <c r="C74" s="2">
        <v>300</v>
      </c>
      <c r="D74" s="2">
        <v>330</v>
      </c>
      <c r="E74" s="2">
        <v>370</v>
      </c>
      <c r="F74" s="2">
        <v>310</v>
      </c>
      <c r="G74" s="2">
        <v>280</v>
      </c>
      <c r="H74" s="2">
        <v>320</v>
      </c>
      <c r="I74" s="2">
        <v>350</v>
      </c>
      <c r="J74" s="2">
        <v>290</v>
      </c>
    </row>
    <row r="75" spans="1:13" x14ac:dyDescent="0.3">
      <c r="A75" s="2">
        <v>270</v>
      </c>
      <c r="B75" s="2">
        <v>350</v>
      </c>
      <c r="C75" s="2">
        <v>300</v>
      </c>
      <c r="D75" s="2">
        <v>330</v>
      </c>
      <c r="E75" s="2">
        <v>370</v>
      </c>
      <c r="F75" s="2">
        <v>310</v>
      </c>
      <c r="G75" s="2">
        <v>280</v>
      </c>
      <c r="H75" s="2">
        <v>320</v>
      </c>
      <c r="I75" s="2">
        <v>350</v>
      </c>
      <c r="J75" s="2">
        <v>290</v>
      </c>
    </row>
    <row r="76" spans="1:13" x14ac:dyDescent="0.3">
      <c r="A76" s="2">
        <v>270</v>
      </c>
      <c r="B76" s="2">
        <v>350</v>
      </c>
      <c r="C76" s="2">
        <v>300</v>
      </c>
      <c r="D76" s="2">
        <v>330</v>
      </c>
      <c r="E76" s="2">
        <v>370</v>
      </c>
      <c r="F76" s="2">
        <v>310</v>
      </c>
      <c r="G76" s="2">
        <v>280</v>
      </c>
      <c r="H76" s="2">
        <v>320</v>
      </c>
      <c r="I76" s="2">
        <v>350</v>
      </c>
      <c r="J76" s="2">
        <v>290</v>
      </c>
    </row>
    <row r="78" spans="1:13" x14ac:dyDescent="0.3">
      <c r="A78" s="1" t="s">
        <v>175</v>
      </c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 x14ac:dyDescent="0.3">
      <c r="A79" s="1" t="s">
        <v>159</v>
      </c>
    </row>
    <row r="80" spans="1:13" x14ac:dyDescent="0.3">
      <c r="B80" t="s">
        <v>176</v>
      </c>
    </row>
    <row r="82" spans="1:13" x14ac:dyDescent="0.3">
      <c r="B82" t="s">
        <v>177</v>
      </c>
    </row>
    <row r="84" spans="1:13" x14ac:dyDescent="0.3">
      <c r="B84" t="s">
        <v>178</v>
      </c>
    </row>
    <row r="86" spans="1:13" x14ac:dyDescent="0.3">
      <c r="A86" s="1" t="s">
        <v>179</v>
      </c>
      <c r="B86" s="1"/>
      <c r="C86" s="1"/>
      <c r="D86" s="1"/>
      <c r="E86" s="1"/>
      <c r="F86" s="1"/>
      <c r="G86" s="1"/>
      <c r="H86" s="1"/>
      <c r="I86" s="1"/>
      <c r="J86" s="1"/>
      <c r="K86" s="1"/>
    </row>
    <row r="88" spans="1:13" x14ac:dyDescent="0.3">
      <c r="A88" s="1" t="s">
        <v>180</v>
      </c>
      <c r="B88" s="1"/>
      <c r="C88" s="1"/>
      <c r="D88" s="1"/>
      <c r="E88" s="1"/>
      <c r="F88" s="1"/>
      <c r="G88" s="1"/>
    </row>
    <row r="90" spans="1:13" x14ac:dyDescent="0.3">
      <c r="A90" s="1" t="s">
        <v>181</v>
      </c>
      <c r="L90" s="3" t="s">
        <v>154</v>
      </c>
      <c r="M90" s="3" t="s">
        <v>155</v>
      </c>
    </row>
    <row r="91" spans="1:13" x14ac:dyDescent="0.3">
      <c r="A91" s="2">
        <v>12</v>
      </c>
      <c r="B91" s="2">
        <v>18</v>
      </c>
      <c r="C91" s="2">
        <v>15</v>
      </c>
      <c r="D91" s="2">
        <v>22</v>
      </c>
      <c r="E91" s="2">
        <v>20</v>
      </c>
      <c r="F91" s="2">
        <v>14</v>
      </c>
      <c r="G91" s="2">
        <v>16</v>
      </c>
      <c r="H91" s="2">
        <v>21</v>
      </c>
      <c r="I91" s="2">
        <v>19</v>
      </c>
      <c r="J91" s="2">
        <v>17</v>
      </c>
      <c r="L91" s="4">
        <f>SKEW(A91:J100)</f>
        <v>-0.3350128722188207</v>
      </c>
      <c r="M91" s="4">
        <f>KURT(A91:J100)</f>
        <v>-0.88101144669010489</v>
      </c>
    </row>
    <row r="92" spans="1:13" x14ac:dyDescent="0.3">
      <c r="A92" s="2">
        <v>22</v>
      </c>
      <c r="B92" s="2">
        <v>19</v>
      </c>
      <c r="C92" s="2">
        <v>13</v>
      </c>
      <c r="D92" s="2">
        <v>16</v>
      </c>
      <c r="E92" s="2">
        <v>21</v>
      </c>
      <c r="F92" s="2">
        <v>22</v>
      </c>
      <c r="G92" s="2">
        <v>17</v>
      </c>
      <c r="H92" s="2">
        <v>19</v>
      </c>
      <c r="I92" s="2">
        <v>22</v>
      </c>
      <c r="J92" s="2">
        <v>18</v>
      </c>
    </row>
    <row r="93" spans="1:13" x14ac:dyDescent="0.3">
      <c r="A93" s="2">
        <v>14</v>
      </c>
      <c r="B93" s="2">
        <v>20</v>
      </c>
      <c r="C93" s="2">
        <v>19</v>
      </c>
      <c r="D93" s="2">
        <v>17</v>
      </c>
      <c r="E93" s="2">
        <v>22</v>
      </c>
      <c r="F93" s="2">
        <v>18</v>
      </c>
      <c r="G93" s="2">
        <v>15</v>
      </c>
      <c r="H93" s="2">
        <v>21</v>
      </c>
      <c r="I93" s="2">
        <v>20</v>
      </c>
      <c r="J93" s="2">
        <v>16</v>
      </c>
    </row>
    <row r="94" spans="1:13" x14ac:dyDescent="0.3">
      <c r="A94" s="2">
        <v>12</v>
      </c>
      <c r="B94" s="2">
        <v>18</v>
      </c>
      <c r="C94" s="2">
        <v>15</v>
      </c>
      <c r="D94" s="2">
        <v>22</v>
      </c>
      <c r="E94" s="2">
        <v>20</v>
      </c>
      <c r="F94" s="2">
        <v>14</v>
      </c>
      <c r="G94" s="2">
        <v>16</v>
      </c>
      <c r="H94" s="2">
        <v>21</v>
      </c>
      <c r="I94" s="2">
        <v>19</v>
      </c>
      <c r="J94" s="2">
        <v>17</v>
      </c>
    </row>
    <row r="95" spans="1:13" x14ac:dyDescent="0.3">
      <c r="A95" s="2">
        <v>22</v>
      </c>
      <c r="B95" s="2">
        <v>19</v>
      </c>
      <c r="C95" s="2">
        <v>13</v>
      </c>
      <c r="D95" s="2">
        <v>16</v>
      </c>
      <c r="E95" s="2">
        <v>21</v>
      </c>
      <c r="F95" s="2">
        <v>22</v>
      </c>
      <c r="G95" s="2">
        <v>17</v>
      </c>
      <c r="H95" s="2">
        <v>19</v>
      </c>
      <c r="I95" s="2">
        <v>22</v>
      </c>
      <c r="J95" s="2">
        <v>18</v>
      </c>
    </row>
    <row r="96" spans="1:13" x14ac:dyDescent="0.3">
      <c r="A96" s="2">
        <v>14</v>
      </c>
      <c r="B96" s="2">
        <v>20</v>
      </c>
      <c r="C96" s="2">
        <v>19</v>
      </c>
      <c r="D96" s="2">
        <v>17</v>
      </c>
      <c r="E96" s="2">
        <v>22</v>
      </c>
      <c r="F96" s="2">
        <v>18</v>
      </c>
      <c r="G96" s="2">
        <v>15</v>
      </c>
      <c r="H96" s="2">
        <v>21</v>
      </c>
      <c r="I96" s="2">
        <v>20</v>
      </c>
      <c r="J96" s="2">
        <v>16</v>
      </c>
    </row>
    <row r="97" spans="1:11" x14ac:dyDescent="0.3">
      <c r="A97" s="2">
        <v>12</v>
      </c>
      <c r="B97" s="2">
        <v>18</v>
      </c>
      <c r="C97" s="2">
        <v>15</v>
      </c>
      <c r="D97" s="2">
        <v>22</v>
      </c>
      <c r="E97" s="2">
        <v>20</v>
      </c>
      <c r="F97" s="2">
        <v>14</v>
      </c>
      <c r="G97" s="2">
        <v>16</v>
      </c>
      <c r="H97" s="2">
        <v>21</v>
      </c>
      <c r="I97" s="2">
        <v>19</v>
      </c>
      <c r="J97" s="2">
        <v>17</v>
      </c>
    </row>
    <row r="98" spans="1:11" x14ac:dyDescent="0.3">
      <c r="A98" s="2">
        <v>22</v>
      </c>
      <c r="B98" s="2">
        <v>19</v>
      </c>
      <c r="C98" s="2">
        <v>13</v>
      </c>
      <c r="D98" s="2">
        <v>16</v>
      </c>
      <c r="E98" s="2">
        <v>21</v>
      </c>
      <c r="F98" s="2">
        <v>22</v>
      </c>
      <c r="G98" s="2">
        <v>17</v>
      </c>
      <c r="H98" s="2">
        <v>19</v>
      </c>
      <c r="I98" s="2">
        <v>22</v>
      </c>
      <c r="J98" s="2">
        <v>18</v>
      </c>
    </row>
    <row r="99" spans="1:11" x14ac:dyDescent="0.3">
      <c r="A99" s="2">
        <v>14</v>
      </c>
      <c r="B99" s="2">
        <v>20</v>
      </c>
      <c r="C99" s="2">
        <v>19</v>
      </c>
      <c r="D99" s="2">
        <v>17</v>
      </c>
      <c r="E99" s="2">
        <v>22</v>
      </c>
      <c r="F99" s="2">
        <v>18</v>
      </c>
      <c r="G99" s="2">
        <v>15</v>
      </c>
      <c r="H99" s="2">
        <v>21</v>
      </c>
      <c r="I99" s="2">
        <v>20</v>
      </c>
      <c r="J99" s="2">
        <v>16</v>
      </c>
    </row>
    <row r="100" spans="1:11" x14ac:dyDescent="0.3">
      <c r="A100" s="2">
        <v>12</v>
      </c>
      <c r="B100" s="2">
        <v>18</v>
      </c>
      <c r="C100" s="2">
        <v>15</v>
      </c>
      <c r="D100" s="2">
        <v>22</v>
      </c>
      <c r="E100" s="2">
        <v>20</v>
      </c>
      <c r="F100" s="2">
        <v>14</v>
      </c>
      <c r="G100" s="2">
        <v>16</v>
      </c>
      <c r="H100" s="2">
        <v>21</v>
      </c>
      <c r="I100" s="2">
        <v>19</v>
      </c>
      <c r="J100" s="2">
        <v>17</v>
      </c>
    </row>
    <row r="102" spans="1:11" x14ac:dyDescent="0.3">
      <c r="A102" s="1" t="s">
        <v>186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159</v>
      </c>
    </row>
    <row r="104" spans="1:11" x14ac:dyDescent="0.3">
      <c r="B104" t="s">
        <v>182</v>
      </c>
    </row>
    <row r="106" spans="1:11" x14ac:dyDescent="0.3">
      <c r="B106" t="s">
        <v>183</v>
      </c>
    </row>
    <row r="108" spans="1:11" x14ac:dyDescent="0.3">
      <c r="B108" t="s">
        <v>184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B6BF-E5C1-4B07-8B54-1541173B284D}">
  <dimension ref="A1:O139"/>
  <sheetViews>
    <sheetView tabSelected="1" workbookViewId="0">
      <selection activeCell="K138" sqref="K138"/>
    </sheetView>
  </sheetViews>
  <sheetFormatPr defaultRowHeight="14.4" x14ac:dyDescent="0.3"/>
  <cols>
    <col min="12" max="12" width="9.88671875" customWidth="1"/>
    <col min="13" max="13" width="11.109375" bestFit="1" customWidth="1"/>
    <col min="15" max="15" width="12.44140625" bestFit="1" customWidth="1"/>
  </cols>
  <sheetData>
    <row r="1" spans="1:15" x14ac:dyDescent="0.3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5" x14ac:dyDescent="0.3">
      <c r="A3" s="1" t="s">
        <v>187</v>
      </c>
      <c r="B3" s="1"/>
      <c r="C3" s="1"/>
      <c r="D3" s="1"/>
      <c r="E3" s="1"/>
      <c r="F3" s="1"/>
      <c r="G3" s="1"/>
      <c r="H3" s="1"/>
      <c r="I3" s="1"/>
    </row>
    <row r="5" spans="1:15" x14ac:dyDescent="0.3">
      <c r="A5" s="1" t="s">
        <v>188</v>
      </c>
      <c r="L5" s="12" t="s">
        <v>189</v>
      </c>
      <c r="M5" s="12"/>
      <c r="N5" s="12"/>
    </row>
    <row r="6" spans="1:15" x14ac:dyDescent="0.3">
      <c r="A6" s="2">
        <v>40</v>
      </c>
      <c r="B6" s="2">
        <v>45</v>
      </c>
      <c r="C6" s="2">
        <v>50</v>
      </c>
      <c r="D6" s="2">
        <v>55</v>
      </c>
      <c r="E6" s="2">
        <v>60</v>
      </c>
      <c r="F6" s="2">
        <v>62</v>
      </c>
      <c r="G6" s="2">
        <v>65</v>
      </c>
      <c r="H6" s="2">
        <v>68</v>
      </c>
      <c r="I6" s="2">
        <v>70</v>
      </c>
      <c r="J6" s="2">
        <v>72</v>
      </c>
      <c r="L6" s="3" t="s">
        <v>93</v>
      </c>
      <c r="M6" s="3" t="s">
        <v>199</v>
      </c>
      <c r="N6" s="3" t="s">
        <v>94</v>
      </c>
    </row>
    <row r="7" spans="1:15" x14ac:dyDescent="0.3">
      <c r="A7" s="2">
        <v>75</v>
      </c>
      <c r="B7" s="2">
        <v>78</v>
      </c>
      <c r="C7" s="2">
        <v>80</v>
      </c>
      <c r="D7" s="2">
        <v>82</v>
      </c>
      <c r="E7" s="2">
        <v>85</v>
      </c>
      <c r="F7" s="2">
        <v>88</v>
      </c>
      <c r="G7" s="2">
        <v>90</v>
      </c>
      <c r="H7" s="2">
        <v>92</v>
      </c>
      <c r="I7" s="2">
        <v>95</v>
      </c>
      <c r="J7" s="2">
        <v>100</v>
      </c>
      <c r="L7" s="2">
        <f>QUARTILE(A6:J15,1)</f>
        <v>128.75</v>
      </c>
      <c r="M7" s="9">
        <f>MEDIAN(A6:J15)</f>
        <v>252.5</v>
      </c>
      <c r="N7" s="2">
        <f>QUARTILE(A6:J15,3)</f>
        <v>376.25</v>
      </c>
    </row>
    <row r="8" spans="1:15" x14ac:dyDescent="0.3">
      <c r="A8" s="2">
        <v>105</v>
      </c>
      <c r="B8" s="2">
        <v>110</v>
      </c>
      <c r="C8" s="2">
        <v>115</v>
      </c>
      <c r="D8" s="2">
        <v>120</v>
      </c>
      <c r="E8" s="2">
        <v>125</v>
      </c>
      <c r="F8" s="2">
        <v>130</v>
      </c>
      <c r="G8" s="2">
        <v>135</v>
      </c>
      <c r="H8" s="2">
        <v>140</v>
      </c>
      <c r="I8" s="2">
        <v>145</v>
      </c>
      <c r="J8" s="2">
        <v>150</v>
      </c>
    </row>
    <row r="9" spans="1:15" x14ac:dyDescent="0.3">
      <c r="A9" s="2">
        <v>155</v>
      </c>
      <c r="B9" s="2">
        <v>160</v>
      </c>
      <c r="C9" s="2">
        <v>165</v>
      </c>
      <c r="D9" s="2">
        <v>170</v>
      </c>
      <c r="E9" s="2">
        <v>175</v>
      </c>
      <c r="F9" s="2">
        <v>180</v>
      </c>
      <c r="G9" s="2">
        <v>185</v>
      </c>
      <c r="H9" s="2">
        <v>190</v>
      </c>
      <c r="I9" s="2">
        <v>195</v>
      </c>
      <c r="J9" s="2">
        <v>200</v>
      </c>
      <c r="L9" s="12" t="s">
        <v>190</v>
      </c>
      <c r="M9" s="12"/>
      <c r="N9" s="12"/>
      <c r="O9" s="12"/>
    </row>
    <row r="10" spans="1:15" x14ac:dyDescent="0.3">
      <c r="A10" s="2">
        <v>205</v>
      </c>
      <c r="B10" s="2">
        <v>210</v>
      </c>
      <c r="C10" s="2">
        <v>215</v>
      </c>
      <c r="D10" s="2">
        <v>220</v>
      </c>
      <c r="E10" s="2">
        <v>225</v>
      </c>
      <c r="F10" s="2">
        <v>230</v>
      </c>
      <c r="G10" s="2">
        <v>235</v>
      </c>
      <c r="H10" s="2">
        <v>240</v>
      </c>
      <c r="I10" s="2">
        <v>245</v>
      </c>
      <c r="J10" s="2">
        <v>250</v>
      </c>
      <c r="L10" s="10">
        <v>0.1</v>
      </c>
      <c r="M10" s="10">
        <v>0.25</v>
      </c>
      <c r="N10" s="10">
        <v>0.75</v>
      </c>
      <c r="O10" s="10">
        <v>0.9</v>
      </c>
    </row>
    <row r="11" spans="1:15" x14ac:dyDescent="0.3">
      <c r="A11" s="2">
        <v>255</v>
      </c>
      <c r="B11" s="2">
        <v>260</v>
      </c>
      <c r="C11" s="2">
        <v>265</v>
      </c>
      <c r="D11" s="2">
        <v>270</v>
      </c>
      <c r="E11" s="2">
        <v>275</v>
      </c>
      <c r="F11" s="2">
        <v>280</v>
      </c>
      <c r="G11" s="2">
        <v>285</v>
      </c>
      <c r="H11" s="2">
        <v>290</v>
      </c>
      <c r="I11" s="2">
        <v>295</v>
      </c>
      <c r="J11" s="2">
        <v>300</v>
      </c>
      <c r="L11" s="2">
        <f>PERCENTILE(A6:J15,0.1)</f>
        <v>74.7</v>
      </c>
      <c r="M11" s="2">
        <f>PERCENTILE(A6:J15,0.25)</f>
        <v>128.75</v>
      </c>
      <c r="N11" s="2">
        <f>PERCENTILE(A6:J15,0.75)</f>
        <v>376.25</v>
      </c>
      <c r="O11" s="2">
        <f>PERCENTILE(A6:J15,0.9)</f>
        <v>450.50000000000006</v>
      </c>
    </row>
    <row r="12" spans="1:15" x14ac:dyDescent="0.3">
      <c r="A12" s="2">
        <v>305</v>
      </c>
      <c r="B12" s="2">
        <v>310</v>
      </c>
      <c r="C12" s="2">
        <v>315</v>
      </c>
      <c r="D12" s="2">
        <v>320</v>
      </c>
      <c r="E12" s="2">
        <v>325</v>
      </c>
      <c r="F12" s="2">
        <v>330</v>
      </c>
      <c r="G12" s="2">
        <v>335</v>
      </c>
      <c r="H12" s="2">
        <v>340</v>
      </c>
      <c r="I12" s="2">
        <v>345</v>
      </c>
      <c r="J12" s="2">
        <v>350</v>
      </c>
    </row>
    <row r="13" spans="1:15" x14ac:dyDescent="0.3">
      <c r="A13" s="2">
        <v>355</v>
      </c>
      <c r="B13" s="2">
        <v>360</v>
      </c>
      <c r="C13" s="2">
        <v>365</v>
      </c>
      <c r="D13" s="2">
        <v>370</v>
      </c>
      <c r="E13" s="2">
        <v>375</v>
      </c>
      <c r="F13" s="2">
        <v>380</v>
      </c>
      <c r="G13" s="2">
        <v>385</v>
      </c>
      <c r="H13" s="2">
        <v>390</v>
      </c>
      <c r="I13" s="2">
        <v>395</v>
      </c>
      <c r="J13" s="2">
        <v>400</v>
      </c>
    </row>
    <row r="14" spans="1:15" x14ac:dyDescent="0.3">
      <c r="A14" s="2">
        <v>405</v>
      </c>
      <c r="B14" s="2">
        <v>410</v>
      </c>
      <c r="C14" s="2">
        <v>415</v>
      </c>
      <c r="D14" s="2">
        <v>420</v>
      </c>
      <c r="E14" s="2">
        <v>425</v>
      </c>
      <c r="F14" s="2">
        <v>430</v>
      </c>
      <c r="G14" s="2">
        <v>435</v>
      </c>
      <c r="H14" s="2">
        <v>440</v>
      </c>
      <c r="I14" s="2">
        <v>445</v>
      </c>
      <c r="J14" s="2">
        <v>450</v>
      </c>
    </row>
    <row r="15" spans="1:15" x14ac:dyDescent="0.3">
      <c r="A15" s="2">
        <v>455</v>
      </c>
      <c r="B15" s="2">
        <v>460</v>
      </c>
      <c r="C15" s="2">
        <v>465</v>
      </c>
      <c r="D15" s="2">
        <v>470</v>
      </c>
      <c r="E15" s="2">
        <v>475</v>
      </c>
      <c r="F15" s="2">
        <v>480</v>
      </c>
      <c r="G15" s="2">
        <v>485</v>
      </c>
      <c r="H15" s="2">
        <v>490</v>
      </c>
      <c r="I15" s="2">
        <v>495</v>
      </c>
      <c r="J15" s="2">
        <v>500</v>
      </c>
    </row>
    <row r="17" spans="1:14" x14ac:dyDescent="0.3">
      <c r="A17" s="1" t="s">
        <v>191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4" x14ac:dyDescent="0.3">
      <c r="A18" s="1" t="s">
        <v>159</v>
      </c>
    </row>
    <row r="19" spans="1:14" x14ac:dyDescent="0.3">
      <c r="B19" t="s">
        <v>192</v>
      </c>
    </row>
    <row r="21" spans="1:14" x14ac:dyDescent="0.3">
      <c r="B21" t="s">
        <v>193</v>
      </c>
    </row>
    <row r="23" spans="1:14" x14ac:dyDescent="0.3">
      <c r="B23" t="s">
        <v>194</v>
      </c>
    </row>
    <row r="25" spans="1:14" x14ac:dyDescent="0.3">
      <c r="B25" t="s">
        <v>195</v>
      </c>
    </row>
    <row r="27" spans="1:14" x14ac:dyDescent="0.3">
      <c r="A27" s="1" t="s">
        <v>196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9" spans="1:14" x14ac:dyDescent="0.3">
      <c r="A29" s="1" t="s">
        <v>197</v>
      </c>
      <c r="B29" s="1"/>
      <c r="C29" s="1"/>
      <c r="D29" s="1"/>
      <c r="E29" s="1"/>
      <c r="F29" s="1"/>
      <c r="G29" s="1"/>
      <c r="H29" s="1"/>
    </row>
    <row r="31" spans="1:14" x14ac:dyDescent="0.3">
      <c r="A31" s="1" t="s">
        <v>198</v>
      </c>
      <c r="L31" s="12" t="s">
        <v>189</v>
      </c>
      <c r="M31" s="12"/>
      <c r="N31" s="12"/>
    </row>
    <row r="32" spans="1:14" x14ac:dyDescent="0.3">
      <c r="A32" s="2">
        <v>55</v>
      </c>
      <c r="B32" s="2">
        <v>60</v>
      </c>
      <c r="C32" s="2">
        <v>62</v>
      </c>
      <c r="D32" s="2">
        <v>65</v>
      </c>
      <c r="E32" s="2">
        <v>68</v>
      </c>
      <c r="F32" s="2">
        <v>70</v>
      </c>
      <c r="G32" s="2">
        <v>72</v>
      </c>
      <c r="H32" s="2">
        <v>75</v>
      </c>
      <c r="I32" s="2">
        <v>78</v>
      </c>
      <c r="J32" s="2">
        <v>80</v>
      </c>
      <c r="L32" s="3" t="s">
        <v>93</v>
      </c>
      <c r="M32" s="3" t="s">
        <v>199</v>
      </c>
      <c r="N32" s="3" t="s">
        <v>94</v>
      </c>
    </row>
    <row r="33" spans="1:15" x14ac:dyDescent="0.3">
      <c r="A33" s="2">
        <v>82</v>
      </c>
      <c r="B33" s="2">
        <v>85</v>
      </c>
      <c r="C33" s="2">
        <v>88</v>
      </c>
      <c r="D33" s="2">
        <v>90</v>
      </c>
      <c r="E33" s="2">
        <v>92</v>
      </c>
      <c r="F33" s="2">
        <v>95</v>
      </c>
      <c r="G33" s="2">
        <v>100</v>
      </c>
      <c r="H33" s="2">
        <v>105</v>
      </c>
      <c r="I33" s="2">
        <v>110</v>
      </c>
      <c r="J33" s="2">
        <v>115</v>
      </c>
      <c r="L33" s="2">
        <f>QUARTILE(A32:J41,1)</f>
        <v>143.75</v>
      </c>
      <c r="M33" s="2">
        <f>MEDIAN(A32:J41)</f>
        <v>267.5</v>
      </c>
      <c r="N33" s="2">
        <f>QUARTILE(A32:J41,3)</f>
        <v>391.25</v>
      </c>
    </row>
    <row r="34" spans="1:15" x14ac:dyDescent="0.3">
      <c r="A34" s="2">
        <v>120</v>
      </c>
      <c r="B34" s="2">
        <v>125</v>
      </c>
      <c r="C34" s="2">
        <v>130</v>
      </c>
      <c r="D34" s="2">
        <v>135</v>
      </c>
      <c r="E34" s="2">
        <v>140</v>
      </c>
      <c r="F34" s="2">
        <v>145</v>
      </c>
      <c r="G34" s="2">
        <v>150</v>
      </c>
      <c r="H34" s="2">
        <v>155</v>
      </c>
      <c r="I34" s="2">
        <v>160</v>
      </c>
      <c r="J34" s="2">
        <v>165</v>
      </c>
    </row>
    <row r="35" spans="1:15" x14ac:dyDescent="0.3">
      <c r="A35" s="2">
        <v>170</v>
      </c>
      <c r="B35" s="2">
        <v>175</v>
      </c>
      <c r="C35" s="2">
        <v>180</v>
      </c>
      <c r="D35" s="2">
        <v>185</v>
      </c>
      <c r="E35" s="2">
        <v>190</v>
      </c>
      <c r="F35" s="2">
        <v>195</v>
      </c>
      <c r="G35" s="2">
        <v>200</v>
      </c>
      <c r="H35" s="2">
        <v>205</v>
      </c>
      <c r="I35" s="2">
        <v>210</v>
      </c>
      <c r="J35" s="2">
        <v>215</v>
      </c>
    </row>
    <row r="36" spans="1:15" x14ac:dyDescent="0.3">
      <c r="A36" s="2">
        <v>220</v>
      </c>
      <c r="B36" s="2">
        <v>225</v>
      </c>
      <c r="C36" s="2">
        <v>230</v>
      </c>
      <c r="D36" s="2">
        <v>235</v>
      </c>
      <c r="E36" s="2">
        <v>240</v>
      </c>
      <c r="F36" s="2">
        <v>245</v>
      </c>
      <c r="G36" s="2">
        <v>250</v>
      </c>
      <c r="H36" s="2">
        <v>255</v>
      </c>
      <c r="I36" s="2">
        <v>260</v>
      </c>
      <c r="J36" s="2">
        <v>265</v>
      </c>
      <c r="L36" s="12" t="s">
        <v>190</v>
      </c>
      <c r="M36" s="12"/>
      <c r="N36" s="12"/>
      <c r="O36" s="12"/>
    </row>
    <row r="37" spans="1:15" x14ac:dyDescent="0.3">
      <c r="A37" s="2">
        <v>270</v>
      </c>
      <c r="B37" s="2">
        <v>275</v>
      </c>
      <c r="C37" s="2">
        <v>280</v>
      </c>
      <c r="D37" s="2">
        <v>285</v>
      </c>
      <c r="E37" s="2">
        <v>290</v>
      </c>
      <c r="F37" s="2">
        <v>295</v>
      </c>
      <c r="G37" s="2">
        <v>300</v>
      </c>
      <c r="H37" s="2">
        <v>305</v>
      </c>
      <c r="I37" s="2">
        <v>310</v>
      </c>
      <c r="J37" s="2">
        <v>315</v>
      </c>
      <c r="L37" s="10">
        <v>0.1</v>
      </c>
      <c r="M37" s="10">
        <v>0.15</v>
      </c>
      <c r="N37" s="10">
        <v>0.5</v>
      </c>
      <c r="O37" s="10">
        <v>0.85</v>
      </c>
    </row>
    <row r="38" spans="1:15" x14ac:dyDescent="0.3">
      <c r="A38" s="2">
        <v>320</v>
      </c>
      <c r="B38" s="2">
        <v>325</v>
      </c>
      <c r="C38" s="2">
        <v>330</v>
      </c>
      <c r="D38" s="2">
        <v>335</v>
      </c>
      <c r="E38" s="2">
        <v>340</v>
      </c>
      <c r="F38" s="2">
        <v>345</v>
      </c>
      <c r="G38" s="2">
        <v>350</v>
      </c>
      <c r="H38" s="2">
        <v>355</v>
      </c>
      <c r="I38" s="2">
        <v>360</v>
      </c>
      <c r="J38" s="2">
        <v>365</v>
      </c>
      <c r="L38" s="2">
        <f>PERCENTILE(A32:J41,0.1)</f>
        <v>81.8</v>
      </c>
      <c r="M38" s="2">
        <f>PERCENTILE(A32:J41,0.15)</f>
        <v>94.55</v>
      </c>
      <c r="N38" s="2">
        <f>PERCENTILE(A32:J41,0.5)</f>
        <v>267.5</v>
      </c>
      <c r="O38" s="2">
        <f>PERCENTILE(A32:J41,0.85)</f>
        <v>440.74999999999994</v>
      </c>
    </row>
    <row r="39" spans="1:15" x14ac:dyDescent="0.3">
      <c r="A39" s="2">
        <v>370</v>
      </c>
      <c r="B39" s="2">
        <v>375</v>
      </c>
      <c r="C39" s="2">
        <v>380</v>
      </c>
      <c r="D39" s="2">
        <v>385</v>
      </c>
      <c r="E39" s="2">
        <v>390</v>
      </c>
      <c r="F39" s="2">
        <v>395</v>
      </c>
      <c r="G39" s="2">
        <v>400</v>
      </c>
      <c r="H39" s="2">
        <v>405</v>
      </c>
      <c r="I39" s="2">
        <v>410</v>
      </c>
      <c r="J39" s="2">
        <v>415</v>
      </c>
    </row>
    <row r="40" spans="1:15" x14ac:dyDescent="0.3">
      <c r="A40" s="2">
        <v>420</v>
      </c>
      <c r="B40" s="2">
        <v>425</v>
      </c>
      <c r="C40" s="2">
        <v>430</v>
      </c>
      <c r="D40" s="2">
        <v>435</v>
      </c>
      <c r="E40" s="2">
        <v>440</v>
      </c>
      <c r="F40" s="2">
        <v>445</v>
      </c>
      <c r="G40" s="2">
        <v>450</v>
      </c>
      <c r="H40" s="2">
        <v>455</v>
      </c>
      <c r="I40" s="2">
        <v>460</v>
      </c>
      <c r="J40" s="2">
        <v>465</v>
      </c>
    </row>
    <row r="41" spans="1:15" x14ac:dyDescent="0.3">
      <c r="A41" s="2">
        <v>470</v>
      </c>
      <c r="B41" s="2">
        <v>475</v>
      </c>
      <c r="C41" s="2">
        <v>480</v>
      </c>
      <c r="D41" s="2">
        <v>485</v>
      </c>
      <c r="E41" s="2">
        <v>490</v>
      </c>
      <c r="F41" s="2">
        <v>495</v>
      </c>
      <c r="G41" s="2">
        <v>500</v>
      </c>
      <c r="H41" s="2">
        <v>505</v>
      </c>
      <c r="I41" s="2">
        <v>510</v>
      </c>
      <c r="J41" s="2">
        <v>515</v>
      </c>
    </row>
    <row r="43" spans="1:15" x14ac:dyDescent="0.3">
      <c r="A43" s="1" t="s">
        <v>200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5" x14ac:dyDescent="0.3">
      <c r="A44" s="1" t="s">
        <v>159</v>
      </c>
    </row>
    <row r="45" spans="1:15" x14ac:dyDescent="0.3">
      <c r="B45" t="s">
        <v>201</v>
      </c>
    </row>
    <row r="47" spans="1:15" x14ac:dyDescent="0.3">
      <c r="B47" t="s">
        <v>202</v>
      </c>
    </row>
    <row r="49" spans="1:15" x14ac:dyDescent="0.3">
      <c r="B49" t="s">
        <v>203</v>
      </c>
    </row>
    <row r="51" spans="1:15" x14ac:dyDescent="0.3">
      <c r="A51" s="1" t="s">
        <v>204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3" spans="1:15" x14ac:dyDescent="0.3">
      <c r="A53" s="1" t="s">
        <v>205</v>
      </c>
      <c r="B53" s="1"/>
      <c r="C53" s="1"/>
      <c r="D53" s="1"/>
      <c r="E53" s="1"/>
      <c r="F53" s="1"/>
      <c r="G53" s="1"/>
      <c r="H53" s="1"/>
    </row>
    <row r="55" spans="1:15" x14ac:dyDescent="0.3">
      <c r="A55" s="1" t="s">
        <v>206</v>
      </c>
      <c r="L55" s="12" t="s">
        <v>189</v>
      </c>
      <c r="M55" s="12"/>
      <c r="N55" s="12"/>
    </row>
    <row r="56" spans="1:15" x14ac:dyDescent="0.3">
      <c r="A56" s="2">
        <v>20</v>
      </c>
      <c r="B56" s="2">
        <v>25</v>
      </c>
      <c r="C56" s="2">
        <v>30</v>
      </c>
      <c r="D56" s="2">
        <v>35</v>
      </c>
      <c r="E56" s="2">
        <v>40</v>
      </c>
      <c r="F56" s="2">
        <v>45</v>
      </c>
      <c r="G56" s="2">
        <v>50</v>
      </c>
      <c r="H56" s="2">
        <v>55</v>
      </c>
      <c r="I56" s="2">
        <v>60</v>
      </c>
      <c r="J56" s="2">
        <v>65</v>
      </c>
      <c r="L56" s="3" t="s">
        <v>93</v>
      </c>
      <c r="M56" s="3" t="s">
        <v>199</v>
      </c>
      <c r="N56" s="3" t="s">
        <v>94</v>
      </c>
    </row>
    <row r="57" spans="1:15" x14ac:dyDescent="0.3">
      <c r="A57" s="2">
        <v>70</v>
      </c>
      <c r="B57" s="2">
        <v>75</v>
      </c>
      <c r="C57" s="2">
        <v>80</v>
      </c>
      <c r="D57" s="2">
        <v>85</v>
      </c>
      <c r="E57" s="2">
        <v>90</v>
      </c>
      <c r="F57" s="2">
        <v>95</v>
      </c>
      <c r="G57" s="2">
        <v>100</v>
      </c>
      <c r="H57" s="2">
        <v>105</v>
      </c>
      <c r="I57" s="2">
        <v>110</v>
      </c>
      <c r="J57" s="2">
        <v>115</v>
      </c>
      <c r="L57" s="2">
        <f>QUARTILE(A56:J66,1)</f>
        <v>156.25</v>
      </c>
      <c r="M57" s="2">
        <f>MEDIAN(A56:J66)</f>
        <v>292.5</v>
      </c>
      <c r="N57" s="2">
        <f>QUARTILE(A56:J66,3)</f>
        <v>428.75</v>
      </c>
    </row>
    <row r="58" spans="1:15" x14ac:dyDescent="0.3">
      <c r="A58" s="2">
        <v>120</v>
      </c>
      <c r="B58" s="2">
        <v>125</v>
      </c>
      <c r="C58" s="2">
        <v>130</v>
      </c>
      <c r="D58" s="2">
        <v>135</v>
      </c>
      <c r="E58" s="2">
        <v>140</v>
      </c>
      <c r="F58" s="2">
        <v>145</v>
      </c>
      <c r="G58" s="2">
        <v>150</v>
      </c>
      <c r="H58" s="2">
        <v>155</v>
      </c>
      <c r="I58" s="2">
        <v>160</v>
      </c>
      <c r="J58" s="2">
        <v>165</v>
      </c>
    </row>
    <row r="59" spans="1:15" x14ac:dyDescent="0.3">
      <c r="A59" s="2">
        <v>170</v>
      </c>
      <c r="B59" s="2">
        <v>175</v>
      </c>
      <c r="C59" s="2">
        <v>180</v>
      </c>
      <c r="D59" s="2">
        <v>185</v>
      </c>
      <c r="E59" s="2">
        <v>190</v>
      </c>
      <c r="F59" s="2">
        <v>195</v>
      </c>
      <c r="G59" s="2">
        <v>200</v>
      </c>
      <c r="H59" s="2">
        <v>205</v>
      </c>
      <c r="I59" s="2">
        <v>210</v>
      </c>
      <c r="J59" s="2">
        <v>215</v>
      </c>
      <c r="L59" s="12" t="s">
        <v>190</v>
      </c>
      <c r="M59" s="12"/>
      <c r="N59" s="12"/>
      <c r="O59" s="1"/>
    </row>
    <row r="60" spans="1:15" x14ac:dyDescent="0.3">
      <c r="A60" s="2">
        <v>220</v>
      </c>
      <c r="B60" s="2">
        <v>225</v>
      </c>
      <c r="C60" s="2">
        <v>230</v>
      </c>
      <c r="D60" s="2">
        <v>235</v>
      </c>
      <c r="E60" s="2">
        <v>240</v>
      </c>
      <c r="F60" s="2">
        <v>245</v>
      </c>
      <c r="G60" s="2">
        <v>250</v>
      </c>
      <c r="H60" s="2">
        <v>255</v>
      </c>
      <c r="I60" s="2">
        <v>260</v>
      </c>
      <c r="J60" s="2">
        <v>265</v>
      </c>
      <c r="L60" s="10">
        <v>0.2</v>
      </c>
      <c r="M60" s="10">
        <v>0.4</v>
      </c>
      <c r="N60" s="10">
        <v>0.8</v>
      </c>
      <c r="O60" s="11"/>
    </row>
    <row r="61" spans="1:15" x14ac:dyDescent="0.3">
      <c r="A61" s="2">
        <v>270</v>
      </c>
      <c r="B61" s="2">
        <v>275</v>
      </c>
      <c r="C61" s="2">
        <v>280</v>
      </c>
      <c r="D61" s="2">
        <v>285</v>
      </c>
      <c r="E61" s="2">
        <v>290</v>
      </c>
      <c r="F61" s="2">
        <v>295</v>
      </c>
      <c r="G61" s="2">
        <v>300</v>
      </c>
      <c r="H61" s="2">
        <v>305</v>
      </c>
      <c r="I61" s="2">
        <v>310</v>
      </c>
      <c r="J61" s="2">
        <v>315</v>
      </c>
      <c r="L61" s="2">
        <f>PERCENTILE(A56:J66,0.2)</f>
        <v>129</v>
      </c>
      <c r="M61" s="2">
        <f>PERCENTILE(A56:J66,0.4)</f>
        <v>238</v>
      </c>
      <c r="N61" s="2">
        <f>PERCENTILE(A56:J66,0.8)</f>
        <v>456</v>
      </c>
    </row>
    <row r="62" spans="1:15" x14ac:dyDescent="0.3">
      <c r="A62" s="2">
        <v>320</v>
      </c>
      <c r="B62" s="2">
        <v>325</v>
      </c>
      <c r="C62" s="2">
        <v>330</v>
      </c>
      <c r="D62" s="2">
        <v>335</v>
      </c>
      <c r="E62" s="2">
        <v>340</v>
      </c>
      <c r="F62" s="2">
        <v>345</v>
      </c>
      <c r="G62" s="2">
        <v>350</v>
      </c>
      <c r="H62" s="2">
        <v>355</v>
      </c>
      <c r="I62" s="2">
        <v>360</v>
      </c>
      <c r="J62" s="2">
        <v>365</v>
      </c>
    </row>
    <row r="63" spans="1:15" x14ac:dyDescent="0.3">
      <c r="A63" s="2">
        <v>370</v>
      </c>
      <c r="B63" s="2">
        <v>375</v>
      </c>
      <c r="C63" s="2">
        <v>380</v>
      </c>
      <c r="D63" s="2">
        <v>385</v>
      </c>
      <c r="E63" s="2">
        <v>390</v>
      </c>
      <c r="F63" s="2">
        <v>395</v>
      </c>
      <c r="G63" s="2">
        <v>400</v>
      </c>
      <c r="H63" s="2">
        <v>405</v>
      </c>
      <c r="I63" s="2">
        <v>410</v>
      </c>
      <c r="J63" s="2">
        <v>415</v>
      </c>
    </row>
    <row r="64" spans="1:15" x14ac:dyDescent="0.3">
      <c r="A64" s="2">
        <v>420</v>
      </c>
      <c r="B64" s="2">
        <v>425</v>
      </c>
      <c r="C64" s="2">
        <v>430</v>
      </c>
      <c r="D64" s="2">
        <v>435</v>
      </c>
      <c r="E64" s="2">
        <v>440</v>
      </c>
      <c r="F64" s="2">
        <v>445</v>
      </c>
      <c r="G64" s="2">
        <v>450</v>
      </c>
      <c r="H64" s="2">
        <v>455</v>
      </c>
      <c r="I64" s="2">
        <v>460</v>
      </c>
      <c r="J64" s="2">
        <v>465</v>
      </c>
    </row>
    <row r="65" spans="1:13" x14ac:dyDescent="0.3">
      <c r="A65" s="2">
        <v>470</v>
      </c>
      <c r="B65" s="2">
        <v>475</v>
      </c>
      <c r="C65" s="2">
        <v>480</v>
      </c>
      <c r="D65" s="2">
        <v>485</v>
      </c>
      <c r="E65" s="2">
        <v>490</v>
      </c>
      <c r="F65" s="2">
        <v>495</v>
      </c>
      <c r="G65" s="2">
        <v>500</v>
      </c>
      <c r="H65" s="2">
        <v>505</v>
      </c>
      <c r="I65" s="2">
        <v>510</v>
      </c>
      <c r="J65" s="2">
        <v>515</v>
      </c>
    </row>
    <row r="66" spans="1:13" x14ac:dyDescent="0.3">
      <c r="A66" s="2">
        <v>520</v>
      </c>
      <c r="B66" s="2">
        <v>525</v>
      </c>
      <c r="C66" s="2">
        <v>530</v>
      </c>
      <c r="D66" s="2">
        <v>535</v>
      </c>
      <c r="E66" s="2">
        <v>540</v>
      </c>
      <c r="F66" s="2">
        <v>545</v>
      </c>
      <c r="G66" s="2">
        <v>550</v>
      </c>
      <c r="H66" s="2">
        <v>555</v>
      </c>
      <c r="I66" s="2">
        <v>560</v>
      </c>
      <c r="J66" s="2">
        <v>565</v>
      </c>
    </row>
    <row r="68" spans="1:13" x14ac:dyDescent="0.3">
      <c r="A68" s="1" t="s">
        <v>207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3" x14ac:dyDescent="0.3">
      <c r="A69" s="1" t="s">
        <v>159</v>
      </c>
    </row>
    <row r="70" spans="1:13" x14ac:dyDescent="0.3">
      <c r="B70" t="s">
        <v>208</v>
      </c>
    </row>
    <row r="72" spans="1:13" x14ac:dyDescent="0.3">
      <c r="B72" t="s">
        <v>209</v>
      </c>
    </row>
    <row r="74" spans="1:13" x14ac:dyDescent="0.3">
      <c r="B74" t="s">
        <v>210</v>
      </c>
    </row>
    <row r="76" spans="1:13" x14ac:dyDescent="0.3">
      <c r="B76" t="s">
        <v>211</v>
      </c>
    </row>
    <row r="78" spans="1:13" x14ac:dyDescent="0.3">
      <c r="B78" t="s">
        <v>212</v>
      </c>
    </row>
    <row r="80" spans="1:13" x14ac:dyDescent="0.3">
      <c r="A80" s="1" t="s">
        <v>213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2" spans="1:14" x14ac:dyDescent="0.3">
      <c r="A82" s="1" t="s">
        <v>214</v>
      </c>
      <c r="B82" s="1"/>
      <c r="C82" s="1"/>
      <c r="D82" s="1"/>
      <c r="E82" s="1"/>
      <c r="F82" s="1"/>
      <c r="G82" s="1"/>
      <c r="H82" s="1"/>
    </row>
    <row r="84" spans="1:14" x14ac:dyDescent="0.3">
      <c r="A84" s="1" t="s">
        <v>215</v>
      </c>
      <c r="L84" s="12" t="s">
        <v>189</v>
      </c>
      <c r="M84" s="12"/>
      <c r="N84" s="12"/>
    </row>
    <row r="85" spans="1:14" x14ac:dyDescent="0.3">
      <c r="A85" s="2">
        <v>15</v>
      </c>
      <c r="B85" s="2">
        <v>20</v>
      </c>
      <c r="C85" s="2">
        <v>25</v>
      </c>
      <c r="D85" s="2">
        <v>30</v>
      </c>
      <c r="E85" s="2">
        <v>35</v>
      </c>
      <c r="F85" s="2">
        <v>40</v>
      </c>
      <c r="G85" s="2">
        <v>45</v>
      </c>
      <c r="H85" s="2">
        <v>50</v>
      </c>
      <c r="I85" s="2">
        <v>55</v>
      </c>
      <c r="J85" s="2">
        <v>60</v>
      </c>
      <c r="L85" s="3" t="s">
        <v>93</v>
      </c>
      <c r="M85" s="3" t="s">
        <v>199</v>
      </c>
      <c r="N85" s="3" t="s">
        <v>94</v>
      </c>
    </row>
    <row r="86" spans="1:14" x14ac:dyDescent="0.3">
      <c r="A86" s="2">
        <v>65</v>
      </c>
      <c r="B86" s="2">
        <v>70</v>
      </c>
      <c r="C86" s="2">
        <v>75</v>
      </c>
      <c r="D86" s="2">
        <v>80</v>
      </c>
      <c r="E86" s="2">
        <v>85</v>
      </c>
      <c r="F86" s="2">
        <v>90</v>
      </c>
      <c r="G86" s="2">
        <v>95</v>
      </c>
      <c r="H86" s="2">
        <v>100</v>
      </c>
      <c r="I86" s="2">
        <v>105</v>
      </c>
      <c r="J86" s="2">
        <v>110</v>
      </c>
      <c r="L86" s="2">
        <f>QUARTILE(A85:J96,1)</f>
        <v>163.75</v>
      </c>
      <c r="M86" s="2">
        <f>QUARTILE(A85:J96,2)</f>
        <v>312.5</v>
      </c>
      <c r="N86" s="2">
        <f>QUARTILE(A85:J96,3)</f>
        <v>461.25</v>
      </c>
    </row>
    <row r="87" spans="1:14" x14ac:dyDescent="0.3">
      <c r="A87" s="2">
        <v>115</v>
      </c>
      <c r="B87" s="2">
        <v>120</v>
      </c>
      <c r="C87" s="2">
        <v>125</v>
      </c>
      <c r="D87" s="2">
        <v>130</v>
      </c>
      <c r="E87" s="2">
        <v>135</v>
      </c>
      <c r="F87" s="2">
        <v>140</v>
      </c>
      <c r="G87" s="2">
        <v>145</v>
      </c>
      <c r="H87" s="2">
        <v>150</v>
      </c>
      <c r="I87" s="2">
        <v>155</v>
      </c>
      <c r="J87" s="2">
        <v>160</v>
      </c>
    </row>
    <row r="88" spans="1:14" x14ac:dyDescent="0.3">
      <c r="A88" s="2">
        <v>165</v>
      </c>
      <c r="B88" s="2">
        <v>170</v>
      </c>
      <c r="C88" s="2">
        <v>175</v>
      </c>
      <c r="D88" s="2">
        <v>180</v>
      </c>
      <c r="E88" s="2">
        <v>185</v>
      </c>
      <c r="F88" s="2">
        <v>190</v>
      </c>
      <c r="G88" s="2">
        <v>195</v>
      </c>
      <c r="H88" s="2">
        <v>200</v>
      </c>
      <c r="I88" s="2">
        <v>205</v>
      </c>
      <c r="J88" s="2">
        <v>210</v>
      </c>
      <c r="L88" s="12" t="s">
        <v>190</v>
      </c>
      <c r="M88" s="12"/>
      <c r="N88" s="12"/>
    </row>
    <row r="89" spans="1:14" x14ac:dyDescent="0.3">
      <c r="A89" s="2">
        <v>215</v>
      </c>
      <c r="B89" s="2">
        <v>220</v>
      </c>
      <c r="C89" s="2">
        <v>225</v>
      </c>
      <c r="D89" s="2">
        <v>230</v>
      </c>
      <c r="E89" s="2">
        <v>235</v>
      </c>
      <c r="F89" s="2">
        <v>240</v>
      </c>
      <c r="G89" s="2">
        <v>245</v>
      </c>
      <c r="H89" s="2">
        <v>250</v>
      </c>
      <c r="I89" s="2">
        <v>255</v>
      </c>
      <c r="J89" s="2">
        <v>260</v>
      </c>
      <c r="L89" s="10">
        <v>0.3</v>
      </c>
      <c r="M89" s="10">
        <v>0.5</v>
      </c>
      <c r="N89" s="10">
        <v>0.7</v>
      </c>
    </row>
    <row r="90" spans="1:14" x14ac:dyDescent="0.3">
      <c r="A90" s="2">
        <v>265</v>
      </c>
      <c r="B90" s="2">
        <v>270</v>
      </c>
      <c r="C90" s="2">
        <v>275</v>
      </c>
      <c r="D90" s="2">
        <v>280</v>
      </c>
      <c r="E90" s="2">
        <v>285</v>
      </c>
      <c r="F90" s="2">
        <v>290</v>
      </c>
      <c r="G90" s="2">
        <v>295</v>
      </c>
      <c r="H90" s="2">
        <v>300</v>
      </c>
      <c r="I90" s="2">
        <v>305</v>
      </c>
      <c r="J90" s="2">
        <v>310</v>
      </c>
      <c r="L90" s="2">
        <f>PERCENTILE(A85:J96,0.3)</f>
        <v>193.49999999999997</v>
      </c>
      <c r="M90" s="2">
        <f>PERCENTILE(A85:J96,0.5)</f>
        <v>312.5</v>
      </c>
      <c r="N90" s="2">
        <f>PERCENTILE(A85:J96,0.7)</f>
        <v>431.5</v>
      </c>
    </row>
    <row r="91" spans="1:14" x14ac:dyDescent="0.3">
      <c r="A91" s="2">
        <v>315</v>
      </c>
      <c r="B91" s="2">
        <v>320</v>
      </c>
      <c r="C91" s="2">
        <v>325</v>
      </c>
      <c r="D91" s="2">
        <v>330</v>
      </c>
      <c r="E91" s="2">
        <v>335</v>
      </c>
      <c r="F91" s="2">
        <v>340</v>
      </c>
      <c r="G91" s="2">
        <v>345</v>
      </c>
      <c r="H91" s="2">
        <v>350</v>
      </c>
      <c r="I91" s="2">
        <v>355</v>
      </c>
      <c r="J91" s="2">
        <v>360</v>
      </c>
    </row>
    <row r="92" spans="1:14" x14ac:dyDescent="0.3">
      <c r="A92" s="2">
        <v>365</v>
      </c>
      <c r="B92" s="2">
        <v>370</v>
      </c>
      <c r="C92" s="2">
        <v>375</v>
      </c>
      <c r="D92" s="2">
        <v>380</v>
      </c>
      <c r="E92" s="2">
        <v>385</v>
      </c>
      <c r="F92" s="2">
        <v>390</v>
      </c>
      <c r="G92" s="2">
        <v>395</v>
      </c>
      <c r="H92" s="2">
        <v>400</v>
      </c>
      <c r="I92" s="2">
        <v>405</v>
      </c>
      <c r="J92" s="2">
        <v>410</v>
      </c>
    </row>
    <row r="93" spans="1:14" x14ac:dyDescent="0.3">
      <c r="A93" s="2">
        <v>415</v>
      </c>
      <c r="B93" s="2">
        <v>420</v>
      </c>
      <c r="C93" s="2">
        <v>425</v>
      </c>
      <c r="D93" s="2">
        <v>430</v>
      </c>
      <c r="E93" s="2">
        <v>435</v>
      </c>
      <c r="F93" s="2">
        <v>440</v>
      </c>
      <c r="G93" s="2">
        <v>445</v>
      </c>
      <c r="H93" s="2">
        <v>450</v>
      </c>
      <c r="I93" s="2">
        <v>455</v>
      </c>
      <c r="J93" s="2">
        <v>460</v>
      </c>
    </row>
    <row r="94" spans="1:14" x14ac:dyDescent="0.3">
      <c r="A94" s="2">
        <v>465</v>
      </c>
      <c r="B94" s="2">
        <v>470</v>
      </c>
      <c r="C94" s="2">
        <v>475</v>
      </c>
      <c r="D94" s="2">
        <v>480</v>
      </c>
      <c r="E94" s="2">
        <v>485</v>
      </c>
      <c r="F94" s="2">
        <v>490</v>
      </c>
      <c r="G94" s="2">
        <v>495</v>
      </c>
      <c r="H94" s="2">
        <v>500</v>
      </c>
      <c r="I94" s="2">
        <v>505</v>
      </c>
      <c r="J94" s="2">
        <v>510</v>
      </c>
    </row>
    <row r="95" spans="1:14" x14ac:dyDescent="0.3">
      <c r="A95" s="2">
        <v>515</v>
      </c>
      <c r="B95" s="2">
        <v>520</v>
      </c>
      <c r="C95" s="2">
        <v>525</v>
      </c>
      <c r="D95" s="2">
        <v>530</v>
      </c>
      <c r="E95" s="2">
        <v>535</v>
      </c>
      <c r="F95" s="2">
        <v>540</v>
      </c>
      <c r="G95" s="2">
        <v>545</v>
      </c>
      <c r="H95" s="2">
        <v>550</v>
      </c>
      <c r="I95" s="2">
        <v>555</v>
      </c>
      <c r="J95" s="2">
        <v>560</v>
      </c>
    </row>
    <row r="96" spans="1:14" x14ac:dyDescent="0.3">
      <c r="A96" s="2">
        <v>565</v>
      </c>
      <c r="B96" s="2">
        <v>570</v>
      </c>
      <c r="C96" s="2">
        <v>575</v>
      </c>
      <c r="D96" s="2">
        <v>580</v>
      </c>
      <c r="E96" s="2">
        <v>585</v>
      </c>
      <c r="F96" s="2">
        <v>590</v>
      </c>
      <c r="G96" s="2">
        <v>595</v>
      </c>
      <c r="H96" s="2">
        <v>600</v>
      </c>
      <c r="I96" s="2">
        <v>605</v>
      </c>
      <c r="J96" s="2">
        <v>610</v>
      </c>
    </row>
    <row r="98" spans="1:13" x14ac:dyDescent="0.3">
      <c r="A98" s="1" t="s">
        <v>216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3">
      <c r="A99" s="1" t="s">
        <v>159</v>
      </c>
    </row>
    <row r="100" spans="1:13" x14ac:dyDescent="0.3">
      <c r="B100" t="s">
        <v>217</v>
      </c>
    </row>
    <row r="102" spans="1:13" x14ac:dyDescent="0.3">
      <c r="B102" t="s">
        <v>218</v>
      </c>
    </row>
    <row r="104" spans="1:13" x14ac:dyDescent="0.3">
      <c r="B104" t="s">
        <v>219</v>
      </c>
    </row>
    <row r="106" spans="1:13" x14ac:dyDescent="0.3">
      <c r="B106" t="s">
        <v>220</v>
      </c>
    </row>
    <row r="108" spans="1:13" x14ac:dyDescent="0.3">
      <c r="B108" t="s">
        <v>221</v>
      </c>
    </row>
    <row r="110" spans="1:13" x14ac:dyDescent="0.3">
      <c r="A110" s="1" t="s">
        <v>222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2" spans="1:13" x14ac:dyDescent="0.3">
      <c r="A112" s="1" t="s">
        <v>223</v>
      </c>
      <c r="B112" s="1"/>
      <c r="C112" s="1"/>
      <c r="D112" s="1"/>
      <c r="E112" s="1"/>
      <c r="F112" s="1"/>
      <c r="G112" s="1"/>
      <c r="H112" s="1"/>
    </row>
    <row r="114" spans="1:14" x14ac:dyDescent="0.3">
      <c r="A114" s="1" t="s">
        <v>224</v>
      </c>
      <c r="L114" s="12" t="s">
        <v>189</v>
      </c>
      <c r="M114" s="12"/>
      <c r="N114" s="12"/>
    </row>
    <row r="115" spans="1:14" x14ac:dyDescent="0.3">
      <c r="A115" s="2">
        <v>0.5</v>
      </c>
      <c r="B115" s="2">
        <v>1</v>
      </c>
      <c r="C115" s="2">
        <v>0.2</v>
      </c>
      <c r="D115" s="2">
        <v>0.7</v>
      </c>
      <c r="E115" s="2">
        <v>0.3</v>
      </c>
      <c r="F115" s="2">
        <v>0.9</v>
      </c>
      <c r="G115" s="2">
        <v>1.2</v>
      </c>
      <c r="H115" s="2">
        <v>0.6</v>
      </c>
      <c r="I115" s="2">
        <v>0.4</v>
      </c>
      <c r="J115" s="2">
        <v>1.1000000000000001</v>
      </c>
      <c r="L115" s="3" t="s">
        <v>93</v>
      </c>
      <c r="M115" s="3" t="s">
        <v>199</v>
      </c>
      <c r="N115" s="3" t="s">
        <v>94</v>
      </c>
    </row>
    <row r="116" spans="1:14" x14ac:dyDescent="0.3">
      <c r="A116" s="2">
        <v>0.8</v>
      </c>
      <c r="B116" s="2">
        <v>0.5</v>
      </c>
      <c r="C116" s="2">
        <v>0.3</v>
      </c>
      <c r="D116" s="2">
        <v>0.6</v>
      </c>
      <c r="E116" s="2">
        <v>1</v>
      </c>
      <c r="F116" s="2">
        <v>0.4</v>
      </c>
      <c r="G116" s="2">
        <v>0.5</v>
      </c>
      <c r="H116" s="2">
        <v>0.7</v>
      </c>
      <c r="I116" s="2">
        <v>0.9</v>
      </c>
      <c r="J116" s="2">
        <v>1.3</v>
      </c>
      <c r="L116" s="2">
        <f>QUARTILE(A115:J127,1)</f>
        <v>0.4</v>
      </c>
      <c r="M116" s="2">
        <f>QUARTILE(A115:J127,2)</f>
        <v>0.7</v>
      </c>
      <c r="N116" s="2">
        <f>QUARTILE(A115:J127,3)</f>
        <v>0.9</v>
      </c>
    </row>
    <row r="117" spans="1:14" x14ac:dyDescent="0.3">
      <c r="A117" s="2">
        <v>0.8</v>
      </c>
      <c r="B117" s="2">
        <v>0.6</v>
      </c>
      <c r="C117" s="2">
        <v>0.4</v>
      </c>
      <c r="D117" s="2">
        <v>0.7</v>
      </c>
      <c r="E117" s="2">
        <v>0.9</v>
      </c>
      <c r="F117" s="2">
        <v>0.5</v>
      </c>
      <c r="G117" s="2">
        <v>0.2</v>
      </c>
      <c r="H117" s="2">
        <v>1</v>
      </c>
      <c r="I117" s="2">
        <v>0.8</v>
      </c>
      <c r="J117" s="2">
        <v>0.3</v>
      </c>
    </row>
    <row r="118" spans="1:14" x14ac:dyDescent="0.3">
      <c r="A118" s="2">
        <v>0.6</v>
      </c>
      <c r="B118" s="2">
        <v>0.4</v>
      </c>
      <c r="C118" s="2">
        <v>0.7</v>
      </c>
      <c r="D118" s="2">
        <v>0.9</v>
      </c>
      <c r="E118" s="2">
        <v>1.2</v>
      </c>
      <c r="F118" s="2">
        <v>0.8</v>
      </c>
      <c r="G118" s="2">
        <v>0.3</v>
      </c>
      <c r="H118" s="2">
        <v>0.6</v>
      </c>
      <c r="I118" s="2">
        <v>0.5</v>
      </c>
      <c r="J118" s="2">
        <v>0.4</v>
      </c>
      <c r="L118" s="12" t="s">
        <v>190</v>
      </c>
      <c r="M118" s="12"/>
      <c r="N118" s="12"/>
    </row>
    <row r="119" spans="1:14" x14ac:dyDescent="0.3">
      <c r="A119" s="2">
        <v>0.7</v>
      </c>
      <c r="B119" s="2">
        <v>0.9</v>
      </c>
      <c r="C119" s="2">
        <v>1.1000000000000001</v>
      </c>
      <c r="D119" s="2">
        <v>0.3</v>
      </c>
      <c r="E119" s="2">
        <v>1.4</v>
      </c>
      <c r="F119" s="2">
        <v>9</v>
      </c>
      <c r="G119" s="2">
        <v>0.6</v>
      </c>
      <c r="H119" s="2">
        <v>0.2</v>
      </c>
      <c r="I119" s="2">
        <v>1.5</v>
      </c>
      <c r="J119" s="2">
        <v>1</v>
      </c>
      <c r="L119" s="10">
        <v>0.25</v>
      </c>
      <c r="M119" s="10">
        <v>0.5</v>
      </c>
      <c r="N119" s="10">
        <v>0.75</v>
      </c>
    </row>
    <row r="120" spans="1:14" x14ac:dyDescent="0.3">
      <c r="A120" s="2">
        <v>0.6</v>
      </c>
      <c r="B120" s="2">
        <v>0.4</v>
      </c>
      <c r="C120" s="2">
        <v>0.7</v>
      </c>
      <c r="D120" s="2">
        <v>1</v>
      </c>
      <c r="E120" s="2">
        <v>0.8</v>
      </c>
      <c r="F120" s="2">
        <v>0.3</v>
      </c>
      <c r="G120" s="2">
        <v>0.5</v>
      </c>
      <c r="H120" s="2">
        <v>0.8</v>
      </c>
      <c r="I120" s="2">
        <v>0.6</v>
      </c>
      <c r="J120" s="2">
        <v>0.3</v>
      </c>
      <c r="L120" s="2">
        <f>PERCENTILE(A115:J127,0.25)</f>
        <v>0.4</v>
      </c>
      <c r="M120" s="2">
        <f>PERCENTILE(A115:J127,0.5)</f>
        <v>0.7</v>
      </c>
      <c r="N120" s="2">
        <f>PERCENTILE(A115:J127,0.75)</f>
        <v>0.9</v>
      </c>
    </row>
    <row r="121" spans="1:14" x14ac:dyDescent="0.3">
      <c r="A121" s="2">
        <v>0.4</v>
      </c>
      <c r="B121" s="2">
        <v>0.7</v>
      </c>
      <c r="C121" s="2">
        <v>0.9</v>
      </c>
      <c r="D121" s="2">
        <v>1</v>
      </c>
      <c r="E121" s="2">
        <v>0.8</v>
      </c>
      <c r="F121" s="2">
        <v>0.3</v>
      </c>
      <c r="G121" s="2">
        <v>0.5</v>
      </c>
      <c r="H121" s="2">
        <v>0.6</v>
      </c>
      <c r="I121" s="2">
        <v>0.4</v>
      </c>
      <c r="J121" s="2">
        <v>0.7</v>
      </c>
    </row>
    <row r="122" spans="1:14" x14ac:dyDescent="0.3">
      <c r="A122" s="2">
        <v>0.9</v>
      </c>
      <c r="B122" s="2">
        <v>1.1000000000000001</v>
      </c>
      <c r="C122" s="2">
        <v>0.8</v>
      </c>
      <c r="D122" s="2">
        <v>0.3</v>
      </c>
      <c r="E122" s="2">
        <v>0.5</v>
      </c>
      <c r="F122" s="2">
        <v>0.6</v>
      </c>
      <c r="G122" s="2">
        <v>0.4</v>
      </c>
      <c r="H122" s="2">
        <v>0.7</v>
      </c>
      <c r="I122" s="2">
        <v>0.9</v>
      </c>
      <c r="J122" s="2">
        <v>1</v>
      </c>
    </row>
    <row r="123" spans="1:14" x14ac:dyDescent="0.3">
      <c r="A123" s="2">
        <v>0.8</v>
      </c>
      <c r="B123" s="2">
        <v>0.3</v>
      </c>
      <c r="C123" s="2">
        <v>0.5</v>
      </c>
      <c r="D123" s="2">
        <v>0.6</v>
      </c>
      <c r="E123" s="2">
        <v>0.4</v>
      </c>
      <c r="F123" s="2">
        <v>0.7</v>
      </c>
      <c r="G123" s="2">
        <v>0.9</v>
      </c>
      <c r="H123" s="2">
        <v>1.1000000000000001</v>
      </c>
      <c r="I123" s="2">
        <v>0.8</v>
      </c>
      <c r="J123" s="2">
        <v>0.3</v>
      </c>
    </row>
    <row r="124" spans="1:14" x14ac:dyDescent="0.3">
      <c r="A124" s="2">
        <v>0.5</v>
      </c>
      <c r="B124" s="2">
        <v>0.6</v>
      </c>
      <c r="C124" s="2">
        <v>0.4</v>
      </c>
      <c r="D124" s="2">
        <v>0.7</v>
      </c>
      <c r="E124" s="2">
        <v>0.9</v>
      </c>
      <c r="F124" s="2">
        <v>1</v>
      </c>
      <c r="G124" s="2">
        <v>0.8</v>
      </c>
      <c r="H124" s="2">
        <v>0.3</v>
      </c>
      <c r="I124" s="2">
        <v>0.5</v>
      </c>
      <c r="J124" s="2">
        <v>0.6</v>
      </c>
    </row>
    <row r="125" spans="1:14" x14ac:dyDescent="0.3">
      <c r="A125" s="2">
        <v>0.4</v>
      </c>
      <c r="B125" s="2">
        <v>0.7</v>
      </c>
      <c r="C125" s="2">
        <v>0.9</v>
      </c>
      <c r="D125" s="2">
        <v>1.1000000000000001</v>
      </c>
      <c r="E125" s="2">
        <v>0.8</v>
      </c>
      <c r="F125" s="2">
        <v>0.3</v>
      </c>
      <c r="G125" s="2">
        <v>0.5</v>
      </c>
      <c r="H125" s="2">
        <v>0.6</v>
      </c>
      <c r="I125" s="2">
        <v>0.4</v>
      </c>
      <c r="J125" s="2">
        <v>0.7</v>
      </c>
    </row>
    <row r="126" spans="1:14" x14ac:dyDescent="0.3">
      <c r="A126" s="2">
        <v>0.9</v>
      </c>
      <c r="B126" s="2">
        <v>1</v>
      </c>
      <c r="C126" s="2">
        <v>0.8</v>
      </c>
      <c r="D126" s="2">
        <v>0.3</v>
      </c>
      <c r="E126" s="2">
        <v>0.5</v>
      </c>
      <c r="F126" s="2">
        <v>0.6</v>
      </c>
      <c r="G126" s="2">
        <v>0.4</v>
      </c>
      <c r="H126" s="2">
        <v>0.7</v>
      </c>
      <c r="I126" s="2">
        <v>0.9</v>
      </c>
      <c r="J126" s="2">
        <v>1.1000000000000001</v>
      </c>
    </row>
    <row r="127" spans="1:14" x14ac:dyDescent="0.3">
      <c r="A127" s="2">
        <v>0.9</v>
      </c>
      <c r="B127" s="2"/>
      <c r="C127" s="2"/>
      <c r="D127" s="2"/>
      <c r="E127" s="2"/>
      <c r="F127" s="2"/>
      <c r="G127" s="2"/>
      <c r="H127" s="2"/>
      <c r="I127" s="2"/>
      <c r="J127" s="2"/>
    </row>
    <row r="129" spans="1:11" x14ac:dyDescent="0.3">
      <c r="A129" s="1" t="s">
        <v>225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3">
      <c r="A130" s="1" t="s">
        <v>159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3">
      <c r="B131" t="s">
        <v>226</v>
      </c>
    </row>
    <row r="133" spans="1:11" x14ac:dyDescent="0.3">
      <c r="B133" t="s">
        <v>227</v>
      </c>
    </row>
    <row r="135" spans="1:11" x14ac:dyDescent="0.3">
      <c r="B135" t="s">
        <v>228</v>
      </c>
    </row>
    <row r="137" spans="1:11" x14ac:dyDescent="0.3">
      <c r="B137" t="s">
        <v>229</v>
      </c>
    </row>
    <row r="139" spans="1:11" x14ac:dyDescent="0.3">
      <c r="B139" t="s">
        <v>230</v>
      </c>
    </row>
  </sheetData>
  <mergeCells count="10">
    <mergeCell ref="L84:N84"/>
    <mergeCell ref="L88:N88"/>
    <mergeCell ref="L114:N114"/>
    <mergeCell ref="L118:N118"/>
    <mergeCell ref="L5:N5"/>
    <mergeCell ref="L9:O9"/>
    <mergeCell ref="L31:N31"/>
    <mergeCell ref="L36:O36"/>
    <mergeCell ref="L55:N55"/>
    <mergeCell ref="L59:N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Measures of Central Tendency1) </vt:lpstr>
      <vt:lpstr>Measures of Dispersion</vt:lpstr>
      <vt:lpstr>Frequency Distribution</vt:lpstr>
      <vt:lpstr>Charts Section</vt:lpstr>
      <vt:lpstr>Skewness &amp; Kurtosis Section</vt:lpstr>
      <vt:lpstr>Quartiles &amp; Percentiles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Pandya</dc:creator>
  <cp:lastModifiedBy>Dixit Pandya</cp:lastModifiedBy>
  <dcterms:created xsi:type="dcterms:W3CDTF">2026-02-14T04:58:18Z</dcterms:created>
  <dcterms:modified xsi:type="dcterms:W3CDTF">2026-02-19T06:21:29Z</dcterms:modified>
</cp:coreProperties>
</file>